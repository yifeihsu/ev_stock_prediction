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ial" sheetId="1" r:id="rId5"/>
    <sheet state="visible" name="Commercial" sheetId="2" r:id="rId6"/>
    <sheet state="visible" name="Industrial" sheetId="3" r:id="rId7"/>
  </sheets>
  <definedNames/>
  <calcPr/>
</workbook>
</file>

<file path=xl/sharedStrings.xml><?xml version="1.0" encoding="utf-8"?>
<sst xmlns="http://schemas.openxmlformats.org/spreadsheetml/2006/main" count="173" uniqueCount="35">
  <si>
    <t>Residential</t>
  </si>
  <si>
    <t>LIPA Average Price
(cents/kWh)</t>
  </si>
  <si>
    <t>Central Hudson Average Price
(cents/kWh)</t>
  </si>
  <si>
    <t>New York - Statewide Monthly Average Retail Price of Electricity - Residential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</si>
  <si>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</si>
  <si>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</si>
  <si>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</si>
  <si>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</si>
  <si>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</si>
  <si>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</si>
  <si>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</si>
  <si>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</si>
  <si>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</si>
  <si>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</si>
  <si>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</si>
  <si>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</si>
  <si>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Yearly Average</t>
  </si>
  <si>
    <t>Seasonal scaling factor-NY statewide-Residential</t>
  </si>
  <si>
    <t>Monthly sacled estimate-LIPA-Residential</t>
  </si>
  <si>
    <t>Monthly sacled estimate-Central Hudson-Residential</t>
  </si>
  <si>
    <t>Commercial</t>
  </si>
  <si>
    <t>New York - Statewide Monthly Average Retail Price of Electricity - Commercial</t>
  </si>
  <si>
    <t>Seasonal scaling factor-NY statewide-Commercial</t>
  </si>
  <si>
    <t>Monthly sacled estimate-LIPA-Commercial</t>
  </si>
  <si>
    <t>Monthly sacled estimate-Central Hudson-Commercial</t>
  </si>
  <si>
    <t>Industrial</t>
  </si>
  <si>
    <t xml:space="preserve">* LIPA reported industrial electricity price as commercial. To analysis the trend we can use commercial one. </t>
  </si>
  <si>
    <r>
      <rPr/>
      <t xml:space="preserve">U.S. Energy Information Administration </t>
    </r>
    <r>
      <rPr>
        <color rgb="FF1155CC"/>
        <u/>
      </rPr>
      <t>https://www.eia.gov/electricity/sales_revenue_price/</t>
    </r>
    <r>
      <rPr/>
      <t xml:space="preserve">    </t>
    </r>
  </si>
  <si>
    <r>
      <rPr/>
      <t xml:space="preserve">NYSERDA </t>
    </r>
    <r>
      <rPr>
        <color rgb="FF1155CC"/>
        <u/>
      </rPr>
      <t>https://www.nyserda.ny.gov/Energy-Prices/Electricity/Monthly-Avg-Electricity-Residential</t>
    </r>
    <r>
      <rPr/>
      <t xml:space="preserve"> </t>
    </r>
  </si>
  <si>
    <t>New York - Statewide Monthly Average Retail Price of Electricity - Industrial</t>
  </si>
  <si>
    <t>Seasonal scaling factor-NY statewide-Industrial</t>
  </si>
  <si>
    <t>Monthly sacled estimate-LIPA-Industrial</t>
  </si>
  <si>
    <t>41.27(30.19 revised)</t>
  </si>
  <si>
    <t>Monthly sacled estimate-Central Hudson-Industrial</t>
  </si>
  <si>
    <t>30.24(22.12 revised)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</si>
</sst>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sz val="15.0"/>
      <color rgb="FF212529"/>
      <name val="Arial"/>
    </font>
    <font>
      <b/>
      <sz val="11.0"/>
      <color rgb="FF212529"/>
      <name val="&quot;Proxima Nova&quot;"/>
    </font>
    <font>
      <sz val="11.0"/>
      <color rgb="FF212529"/>
      <name val="&quot;Proxima Nova&quot;"/>
    </font>
    <font>
      <b/>
      <sz val="15.0"/>
      <color theme="1"/>
      <name val="Arial"/>
      <scheme val="minor"/>
    </font>
    <font>
      <b/>
      <color rgb="FFFF0000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b/>
      <sz val="11.0"/>
      <color rgb="FFFF0000"/>
      <name val="&quot;Proxima Nova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horizontal="center" readingOrder="0" vertical="top"/>
    </xf>
    <xf borderId="0" fillId="2" fontId="7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2" numFmtId="0" xfId="0" applyAlignment="1" applyFont="1">
      <alignment readingOrder="0"/>
    </xf>
    <xf borderId="0" fillId="2" fontId="2" numFmtId="0" xfId="0" applyFont="1"/>
    <xf borderId="0" fillId="2" fontId="13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78</xdr:row>
      <xdr:rowOff>180975</xdr:rowOff>
    </xdr:from>
    <xdr:ext cx="14297025" cy="57626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847725</xdr:colOff>
      <xdr:row>79</xdr:row>
      <xdr:rowOff>190500</xdr:rowOff>
    </xdr:from>
    <xdr:ext cx="14135100" cy="6105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1562100</xdr:colOff>
      <xdr:row>84</xdr:row>
      <xdr:rowOff>-66675</xdr:rowOff>
    </xdr:from>
    <xdr:ext cx="15173325" cy="6553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1533525</xdr:colOff>
      <xdr:row>117</xdr:row>
      <xdr:rowOff>47625</xdr:rowOff>
    </xdr:from>
    <xdr:ext cx="15230475" cy="65532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electricity/sales_revenue_price/" TargetMode="External"/><Relationship Id="rId2" Type="http://schemas.openxmlformats.org/officeDocument/2006/relationships/hyperlink" Target="https://www.nyserda.ny.gov/Energy-Prices/Electricity/Monthly-Avg-Electricity-Residential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4.63"/>
    <col customWidth="1" min="3" max="3" width="30.13"/>
    <col customWidth="1" min="4" max="4" width="20.25"/>
    <col customWidth="1" min="5" max="5" width="21.13"/>
    <col customWidth="1" min="6" max="6" width="22.5"/>
    <col customWidth="1" min="7" max="7" width="27.63"/>
    <col customWidth="1" min="8" max="8" width="19.75"/>
    <col customWidth="1" min="9" max="9" width="21.75"/>
    <col customWidth="1" min="10" max="10" width="20.38"/>
    <col customWidth="1" min="11" max="11" width="26.13"/>
  </cols>
  <sheetData>
    <row r="1">
      <c r="A1" s="1" t="s">
        <v>0</v>
      </c>
      <c r="B1" s="2" t="s">
        <v>1</v>
      </c>
      <c r="C1" s="2" t="s">
        <v>2</v>
      </c>
    </row>
    <row r="2">
      <c r="A2" s="2">
        <v>2015.0</v>
      </c>
      <c r="B2" s="3">
        <v>19.19</v>
      </c>
      <c r="C2" s="3">
        <v>17.67</v>
      </c>
    </row>
    <row r="3">
      <c r="A3" s="2">
        <v>2016.0</v>
      </c>
      <c r="B3" s="3">
        <v>18.94</v>
      </c>
      <c r="C3" s="3">
        <v>16.48</v>
      </c>
    </row>
    <row r="4">
      <c r="A4" s="2">
        <v>2017.0</v>
      </c>
      <c r="B4" s="3">
        <v>19.77</v>
      </c>
      <c r="C4" s="3">
        <v>17.04</v>
      </c>
    </row>
    <row r="5">
      <c r="A5" s="2">
        <v>2018.0</v>
      </c>
      <c r="B5" s="3">
        <v>20.68</v>
      </c>
      <c r="C5" s="3">
        <v>18.59</v>
      </c>
    </row>
    <row r="6">
      <c r="A6" s="2">
        <v>2019.0</v>
      </c>
      <c r="B6" s="3">
        <v>20.39</v>
      </c>
      <c r="C6" s="3">
        <v>17.19</v>
      </c>
    </row>
    <row r="7">
      <c r="A7" s="2">
        <v>2020.0</v>
      </c>
      <c r="B7" s="3">
        <v>21.22</v>
      </c>
      <c r="C7" s="3">
        <v>17.57</v>
      </c>
    </row>
    <row r="8">
      <c r="A8" s="2">
        <v>2021.0</v>
      </c>
      <c r="B8" s="3">
        <v>22.07</v>
      </c>
      <c r="C8" s="3">
        <v>18.53</v>
      </c>
    </row>
    <row r="9">
      <c r="A9" s="2">
        <v>2022.0</v>
      </c>
      <c r="B9" s="3">
        <v>25.22</v>
      </c>
      <c r="C9" s="3">
        <v>22.26</v>
      </c>
    </row>
    <row r="10">
      <c r="A10" s="2">
        <v>2023.0</v>
      </c>
      <c r="B10" s="3">
        <v>22.33</v>
      </c>
      <c r="C10" s="3">
        <v>25.13</v>
      </c>
    </row>
    <row r="11">
      <c r="A11" s="2">
        <v>2024.0</v>
      </c>
      <c r="B11" s="3">
        <v>24.57</v>
      </c>
      <c r="C11" s="3">
        <v>25.14</v>
      </c>
    </row>
    <row r="12">
      <c r="A12" s="4"/>
      <c r="B12" s="5"/>
      <c r="C12" s="5"/>
    </row>
    <row r="13">
      <c r="A13" s="6"/>
      <c r="H13" s="7"/>
      <c r="I13" s="8"/>
    </row>
    <row r="14">
      <c r="A14" s="9" t="s">
        <v>3</v>
      </c>
    </row>
    <row r="15">
      <c r="A15" s="5"/>
      <c r="B15" s="10">
        <v>2024.0</v>
      </c>
      <c r="C15" s="10">
        <v>2023.0</v>
      </c>
      <c r="D15" s="10">
        <v>2022.0</v>
      </c>
      <c r="E15" s="10">
        <v>2021.0</v>
      </c>
      <c r="F15" s="10">
        <v>2020.0</v>
      </c>
      <c r="G15" s="10">
        <v>2019.0</v>
      </c>
      <c r="H15" s="10">
        <v>2018.0</v>
      </c>
      <c r="I15" s="10">
        <v>2017.0</v>
      </c>
      <c r="J15" s="10">
        <v>2016.0</v>
      </c>
      <c r="K15" s="10">
        <v>2015.0</v>
      </c>
    </row>
    <row r="16">
      <c r="A16" s="10" t="s">
        <v>4</v>
      </c>
      <c r="B16" s="11">
        <v>23.44</v>
      </c>
      <c r="C16" s="11">
        <v>23.57</v>
      </c>
      <c r="D16" s="11">
        <v>21.0</v>
      </c>
      <c r="E16" s="11">
        <v>18.3</v>
      </c>
      <c r="F16" s="11">
        <v>17.6</v>
      </c>
      <c r="G16" s="11">
        <v>17.3</v>
      </c>
      <c r="H16" s="11">
        <v>17.8</v>
      </c>
      <c r="I16" s="11">
        <v>17.3</v>
      </c>
      <c r="J16" s="11">
        <v>16.5</v>
      </c>
      <c r="K16" s="11">
        <v>19.3</v>
      </c>
    </row>
    <row r="17">
      <c r="A17" s="10" t="s">
        <v>5</v>
      </c>
      <c r="B17" s="11">
        <v>24.23</v>
      </c>
      <c r="C17" s="11">
        <v>23.6</v>
      </c>
      <c r="D17" s="11">
        <v>21.6</v>
      </c>
      <c r="E17" s="11">
        <v>18.8</v>
      </c>
      <c r="F17" s="11">
        <v>17.4</v>
      </c>
      <c r="G17" s="11">
        <v>17.6</v>
      </c>
      <c r="H17" s="11">
        <v>18.2</v>
      </c>
      <c r="I17" s="11">
        <v>17.5</v>
      </c>
      <c r="J17" s="11">
        <v>16.8</v>
      </c>
      <c r="K17" s="11">
        <v>19.8</v>
      </c>
    </row>
    <row r="18">
      <c r="A18" s="10" t="s">
        <v>6</v>
      </c>
      <c r="B18" s="11">
        <v>23.64</v>
      </c>
      <c r="C18" s="11">
        <v>21.18</v>
      </c>
      <c r="D18" s="11">
        <v>19.7</v>
      </c>
      <c r="E18" s="11">
        <v>18.0</v>
      </c>
      <c r="F18" s="11">
        <v>17.2</v>
      </c>
      <c r="G18" s="11">
        <v>16.8</v>
      </c>
      <c r="H18" s="11">
        <v>17.5</v>
      </c>
      <c r="I18" s="11">
        <v>17.0</v>
      </c>
      <c r="J18" s="11">
        <v>16.9</v>
      </c>
      <c r="K18" s="11">
        <v>19.0</v>
      </c>
    </row>
    <row r="19">
      <c r="A19" s="10" t="s">
        <v>7</v>
      </c>
      <c r="B19" s="11">
        <v>22.97</v>
      </c>
      <c r="C19" s="11">
        <v>19.81</v>
      </c>
      <c r="D19" s="11">
        <v>21.1</v>
      </c>
      <c r="E19" s="11">
        <v>18.5</v>
      </c>
      <c r="F19" s="11">
        <v>17.3</v>
      </c>
      <c r="G19" s="11">
        <v>17.5</v>
      </c>
      <c r="H19" s="11">
        <v>18.0</v>
      </c>
      <c r="I19" s="11">
        <v>17.3</v>
      </c>
      <c r="J19" s="11">
        <v>17.4</v>
      </c>
      <c r="K19" s="11">
        <v>17.8</v>
      </c>
    </row>
    <row r="20">
      <c r="A20" s="10" t="s">
        <v>8</v>
      </c>
      <c r="B20" s="11">
        <v>23.6</v>
      </c>
      <c r="C20" s="11">
        <v>20.47</v>
      </c>
      <c r="D20" s="11">
        <v>21.9</v>
      </c>
      <c r="E20" s="11">
        <v>19.9</v>
      </c>
      <c r="F20" s="11">
        <v>18.5</v>
      </c>
      <c r="G20" s="11">
        <v>17.3</v>
      </c>
      <c r="H20" s="11">
        <v>18.5</v>
      </c>
      <c r="I20" s="11">
        <v>18.5</v>
      </c>
      <c r="J20" s="11">
        <v>17.7</v>
      </c>
      <c r="K20" s="11">
        <v>18.1</v>
      </c>
    </row>
    <row r="21">
      <c r="A21" s="10" t="s">
        <v>9</v>
      </c>
      <c r="B21" s="11">
        <v>24.51</v>
      </c>
      <c r="C21" s="11">
        <v>21.63</v>
      </c>
      <c r="D21" s="11">
        <v>22.4</v>
      </c>
      <c r="E21" s="11">
        <v>19.5</v>
      </c>
      <c r="F21" s="11">
        <v>19.1</v>
      </c>
      <c r="G21" s="11">
        <v>18.5</v>
      </c>
      <c r="H21" s="11">
        <v>19.3</v>
      </c>
      <c r="I21" s="11">
        <v>18.8</v>
      </c>
      <c r="J21" s="11">
        <v>17.9</v>
      </c>
      <c r="K21" s="11">
        <v>18.8</v>
      </c>
    </row>
    <row r="22">
      <c r="A22" s="10" t="s">
        <v>10</v>
      </c>
      <c r="B22" s="11">
        <v>25.01</v>
      </c>
      <c r="C22" s="11">
        <v>22.27</v>
      </c>
      <c r="D22" s="11">
        <v>21.9</v>
      </c>
      <c r="E22" s="11">
        <v>19.6</v>
      </c>
      <c r="F22" s="11">
        <v>18.7</v>
      </c>
      <c r="G22" s="11">
        <v>18.6</v>
      </c>
      <c r="H22" s="11">
        <v>19.4</v>
      </c>
      <c r="I22" s="11">
        <v>18.8</v>
      </c>
      <c r="J22" s="11">
        <v>17.9</v>
      </c>
      <c r="K22" s="11">
        <v>18.7</v>
      </c>
    </row>
    <row r="23">
      <c r="A23" s="10" t="s">
        <v>11</v>
      </c>
      <c r="B23" s="11">
        <v>25.21</v>
      </c>
      <c r="C23" s="11">
        <v>22.33</v>
      </c>
      <c r="D23" s="11">
        <v>21.2</v>
      </c>
      <c r="E23" s="11">
        <v>19.9</v>
      </c>
      <c r="F23" s="11">
        <v>18.4</v>
      </c>
      <c r="G23" s="11">
        <v>18.4</v>
      </c>
      <c r="H23" s="11">
        <v>19.0</v>
      </c>
      <c r="I23" s="11">
        <v>18.6</v>
      </c>
      <c r="J23" s="11">
        <v>18.0</v>
      </c>
      <c r="K23" s="11">
        <v>18.4</v>
      </c>
    </row>
    <row r="24">
      <c r="A24" s="10" t="s">
        <v>12</v>
      </c>
      <c r="B24" s="11">
        <v>24.98</v>
      </c>
      <c r="C24" s="11">
        <v>23.23</v>
      </c>
      <c r="D24" s="11">
        <v>24.0</v>
      </c>
      <c r="E24" s="11">
        <v>20.5</v>
      </c>
      <c r="F24" s="11">
        <v>19.0</v>
      </c>
      <c r="G24" s="11">
        <v>18.7</v>
      </c>
      <c r="H24" s="11">
        <v>19.3</v>
      </c>
      <c r="I24" s="11">
        <v>18.8</v>
      </c>
      <c r="J24" s="11">
        <v>18.4</v>
      </c>
      <c r="K24" s="11">
        <v>18.4</v>
      </c>
    </row>
    <row r="25">
      <c r="A25" s="10" t="s">
        <v>13</v>
      </c>
      <c r="B25" s="11">
        <v>24.98</v>
      </c>
      <c r="C25" s="11">
        <v>22.7</v>
      </c>
      <c r="D25" s="11">
        <v>23.3</v>
      </c>
      <c r="E25" s="11">
        <v>20.6</v>
      </c>
      <c r="F25" s="11">
        <v>19.3</v>
      </c>
      <c r="G25" s="11">
        <v>18.6</v>
      </c>
      <c r="H25" s="11">
        <v>19.3</v>
      </c>
      <c r="I25" s="11">
        <v>18.7</v>
      </c>
      <c r="J25" s="11">
        <v>18.3</v>
      </c>
      <c r="K25" s="11">
        <v>18.3</v>
      </c>
    </row>
    <row r="26">
      <c r="A26" s="10" t="s">
        <v>14</v>
      </c>
      <c r="B26" s="11">
        <v>24.69</v>
      </c>
      <c r="C26" s="11">
        <v>22.72</v>
      </c>
      <c r="D26" s="11">
        <v>23.7</v>
      </c>
      <c r="E26" s="11">
        <v>20.0</v>
      </c>
      <c r="F26" s="11">
        <v>19.0</v>
      </c>
      <c r="G26" s="11">
        <v>18.0</v>
      </c>
      <c r="H26" s="11">
        <v>18.2</v>
      </c>
      <c r="I26" s="11">
        <v>17.8</v>
      </c>
      <c r="J26" s="11">
        <v>17.7</v>
      </c>
      <c r="K26" s="11">
        <v>18.2</v>
      </c>
    </row>
    <row r="27">
      <c r="A27" s="10" t="s">
        <v>15</v>
      </c>
      <c r="B27" s="11">
        <v>24.37</v>
      </c>
      <c r="C27" s="11">
        <v>22.52</v>
      </c>
      <c r="D27" s="11">
        <v>22.8</v>
      </c>
      <c r="E27" s="11">
        <v>19.5</v>
      </c>
      <c r="F27" s="11">
        <v>18.3</v>
      </c>
      <c r="G27" s="11">
        <v>17.3</v>
      </c>
      <c r="H27" s="11">
        <v>17.3</v>
      </c>
      <c r="I27" s="11">
        <v>17.0</v>
      </c>
      <c r="J27" s="11">
        <v>17.2</v>
      </c>
      <c r="K27" s="11">
        <v>17.5</v>
      </c>
    </row>
    <row r="28">
      <c r="A28" s="12" t="s">
        <v>16</v>
      </c>
      <c r="B28" s="13">
        <f t="shared" ref="B28:K28" si="1">SUM(B16:B27)/12</f>
        <v>24.3025</v>
      </c>
      <c r="C28" s="13">
        <f t="shared" si="1"/>
        <v>22.16916667</v>
      </c>
      <c r="D28" s="13">
        <f t="shared" si="1"/>
        <v>22.05</v>
      </c>
      <c r="E28" s="13">
        <f t="shared" si="1"/>
        <v>19.425</v>
      </c>
      <c r="F28" s="13">
        <f t="shared" si="1"/>
        <v>18.31666667</v>
      </c>
      <c r="G28" s="13">
        <f t="shared" si="1"/>
        <v>17.88333333</v>
      </c>
      <c r="H28" s="13">
        <f t="shared" si="1"/>
        <v>18.48333333</v>
      </c>
      <c r="I28" s="13">
        <f t="shared" si="1"/>
        <v>18.00833333</v>
      </c>
      <c r="J28" s="13">
        <f t="shared" si="1"/>
        <v>17.55833333</v>
      </c>
      <c r="K28" s="13">
        <f t="shared" si="1"/>
        <v>18.525</v>
      </c>
    </row>
    <row r="31">
      <c r="A31" s="14" t="s">
        <v>17</v>
      </c>
    </row>
    <row r="32">
      <c r="A32" s="5"/>
      <c r="B32" s="10">
        <v>2024.0</v>
      </c>
      <c r="C32" s="10">
        <v>2023.0</v>
      </c>
      <c r="D32" s="10">
        <v>2022.0</v>
      </c>
      <c r="E32" s="10">
        <v>2021.0</v>
      </c>
      <c r="F32" s="10">
        <v>2020.0</v>
      </c>
      <c r="G32" s="10">
        <v>2019.0</v>
      </c>
      <c r="H32" s="10">
        <v>2018.0</v>
      </c>
      <c r="I32" s="10">
        <v>2017.0</v>
      </c>
      <c r="J32" s="10">
        <v>2016.0</v>
      </c>
      <c r="K32" s="10">
        <v>2015.0</v>
      </c>
    </row>
    <row r="33">
      <c r="A33" s="10" t="s">
        <v>4</v>
      </c>
      <c r="B33" s="11">
        <f t="shared" ref="B33:B44" si="2">B16/$B$28</f>
        <v>0.9645098241</v>
      </c>
      <c r="C33" s="11">
        <f t="shared" ref="C33:C44" si="3">C16/$C$28</f>
        <v>1.063188362</v>
      </c>
      <c r="D33" s="11">
        <f t="shared" ref="D33:D44" si="4">D16/$D$28</f>
        <v>0.9523809524</v>
      </c>
      <c r="E33" s="11">
        <f t="shared" ref="E33:E44" si="5">E16/$E$28</f>
        <v>0.9420849421</v>
      </c>
      <c r="F33" s="11">
        <f t="shared" ref="F33:F44" si="6">F16/$F$28</f>
        <v>0.9608735214</v>
      </c>
      <c r="G33" s="11">
        <f t="shared" ref="G33:G44" si="7">G16/$G$28</f>
        <v>0.9673811743</v>
      </c>
      <c r="H33" s="11">
        <f t="shared" ref="H33:H44" si="8">H16/$H$28</f>
        <v>0.9630297565</v>
      </c>
      <c r="I33" s="11">
        <f t="shared" ref="I33:I44" si="9">I16/$I$28</f>
        <v>0.9606663582</v>
      </c>
      <c r="J33" s="11">
        <f t="shared" ref="J33:J44" si="10">J16/$J$28</f>
        <v>0.9397247271</v>
      </c>
      <c r="K33" s="11">
        <f t="shared" ref="K33:K44" si="11">K16/$K$28</f>
        <v>1.041835358</v>
      </c>
    </row>
    <row r="34">
      <c r="A34" s="10" t="s">
        <v>5</v>
      </c>
      <c r="B34" s="11">
        <f t="shared" si="2"/>
        <v>0.9970167678</v>
      </c>
      <c r="C34" s="11">
        <f t="shared" si="3"/>
        <v>1.064541593</v>
      </c>
      <c r="D34" s="11">
        <f t="shared" si="4"/>
        <v>0.9795918367</v>
      </c>
      <c r="E34" s="11">
        <f t="shared" si="5"/>
        <v>0.9678249678</v>
      </c>
      <c r="F34" s="11">
        <f t="shared" si="6"/>
        <v>0.9499545041</v>
      </c>
      <c r="G34" s="11">
        <f t="shared" si="7"/>
        <v>0.9841565704</v>
      </c>
      <c r="H34" s="11">
        <f t="shared" si="8"/>
        <v>0.9846708747</v>
      </c>
      <c r="I34" s="11">
        <f t="shared" si="9"/>
        <v>0.9717723276</v>
      </c>
      <c r="J34" s="11">
        <f t="shared" si="10"/>
        <v>0.9568106312</v>
      </c>
      <c r="K34" s="11">
        <f t="shared" si="11"/>
        <v>1.068825911</v>
      </c>
    </row>
    <row r="35">
      <c r="A35" s="10" t="s">
        <v>6</v>
      </c>
      <c r="B35" s="11">
        <f t="shared" si="2"/>
        <v>0.9727394301</v>
      </c>
      <c r="C35" s="11">
        <f t="shared" si="3"/>
        <v>0.9553809721</v>
      </c>
      <c r="D35" s="11">
        <f t="shared" si="4"/>
        <v>0.8934240363</v>
      </c>
      <c r="E35" s="11">
        <f t="shared" si="5"/>
        <v>0.9266409266</v>
      </c>
      <c r="F35" s="11">
        <f t="shared" si="6"/>
        <v>0.9390354868</v>
      </c>
      <c r="G35" s="11">
        <f t="shared" si="7"/>
        <v>0.9394221808</v>
      </c>
      <c r="H35" s="11">
        <f t="shared" si="8"/>
        <v>0.9467989179</v>
      </c>
      <c r="I35" s="11">
        <f t="shared" si="9"/>
        <v>0.944007404</v>
      </c>
      <c r="J35" s="11">
        <f t="shared" si="10"/>
        <v>0.9625059326</v>
      </c>
      <c r="K35" s="11">
        <f t="shared" si="11"/>
        <v>1.025641026</v>
      </c>
    </row>
    <row r="36">
      <c r="A36" s="10" t="s">
        <v>7</v>
      </c>
      <c r="B36" s="11">
        <f t="shared" si="2"/>
        <v>0.94517025</v>
      </c>
      <c r="C36" s="11">
        <f t="shared" si="3"/>
        <v>0.8935834304</v>
      </c>
      <c r="D36" s="11">
        <f t="shared" si="4"/>
        <v>0.9569160998</v>
      </c>
      <c r="E36" s="11">
        <f t="shared" si="5"/>
        <v>0.9523809524</v>
      </c>
      <c r="F36" s="11">
        <f t="shared" si="6"/>
        <v>0.9444949955</v>
      </c>
      <c r="G36" s="11">
        <f t="shared" si="7"/>
        <v>0.9785647717</v>
      </c>
      <c r="H36" s="11">
        <f t="shared" si="8"/>
        <v>0.9738503156</v>
      </c>
      <c r="I36" s="11">
        <f t="shared" si="9"/>
        <v>0.9606663582</v>
      </c>
      <c r="J36" s="11">
        <f t="shared" si="10"/>
        <v>0.9909824395</v>
      </c>
      <c r="K36" s="11">
        <f t="shared" si="11"/>
        <v>0.9608636977</v>
      </c>
    </row>
    <row r="37">
      <c r="A37" s="10" t="s">
        <v>8</v>
      </c>
      <c r="B37" s="11">
        <f t="shared" si="2"/>
        <v>0.9710935089</v>
      </c>
      <c r="C37" s="11">
        <f t="shared" si="3"/>
        <v>0.9233545089</v>
      </c>
      <c r="D37" s="11">
        <f t="shared" si="4"/>
        <v>0.9931972789</v>
      </c>
      <c r="E37" s="11">
        <f t="shared" si="5"/>
        <v>1.024453024</v>
      </c>
      <c r="F37" s="11">
        <f t="shared" si="6"/>
        <v>1.010009099</v>
      </c>
      <c r="G37" s="11">
        <f t="shared" si="7"/>
        <v>0.9673811743</v>
      </c>
      <c r="H37" s="11">
        <f t="shared" si="8"/>
        <v>1.000901713</v>
      </c>
      <c r="I37" s="11">
        <f t="shared" si="9"/>
        <v>1.027302175</v>
      </c>
      <c r="J37" s="11">
        <f t="shared" si="10"/>
        <v>1.008068344</v>
      </c>
      <c r="K37" s="11">
        <f t="shared" si="11"/>
        <v>0.9770580297</v>
      </c>
    </row>
    <row r="38">
      <c r="A38" s="10" t="s">
        <v>9</v>
      </c>
      <c r="B38" s="11">
        <f t="shared" si="2"/>
        <v>1.008538216</v>
      </c>
      <c r="C38" s="11">
        <f t="shared" si="3"/>
        <v>0.9756794347</v>
      </c>
      <c r="D38" s="11">
        <f t="shared" si="4"/>
        <v>1.015873016</v>
      </c>
      <c r="E38" s="11">
        <f t="shared" si="5"/>
        <v>1.003861004</v>
      </c>
      <c r="F38" s="11">
        <f t="shared" si="6"/>
        <v>1.042766151</v>
      </c>
      <c r="G38" s="11">
        <f t="shared" si="7"/>
        <v>1.034482759</v>
      </c>
      <c r="H38" s="11">
        <f t="shared" si="8"/>
        <v>1.04418395</v>
      </c>
      <c r="I38" s="11">
        <f t="shared" si="9"/>
        <v>1.043961129</v>
      </c>
      <c r="J38" s="11">
        <f t="shared" si="10"/>
        <v>1.019458946</v>
      </c>
      <c r="K38" s="11">
        <f t="shared" si="11"/>
        <v>1.014844804</v>
      </c>
    </row>
    <row r="39">
      <c r="A39" s="10" t="s">
        <v>10</v>
      </c>
      <c r="B39" s="11">
        <f t="shared" si="2"/>
        <v>1.029112231</v>
      </c>
      <c r="C39" s="11">
        <f t="shared" si="3"/>
        <v>1.004548359</v>
      </c>
      <c r="D39" s="11">
        <f t="shared" si="4"/>
        <v>0.9931972789</v>
      </c>
      <c r="E39" s="11">
        <f t="shared" si="5"/>
        <v>1.009009009</v>
      </c>
      <c r="F39" s="11">
        <f t="shared" si="6"/>
        <v>1.020928116</v>
      </c>
      <c r="G39" s="11">
        <f t="shared" si="7"/>
        <v>1.040074557</v>
      </c>
      <c r="H39" s="11">
        <f t="shared" si="8"/>
        <v>1.049594229</v>
      </c>
      <c r="I39" s="11">
        <f t="shared" si="9"/>
        <v>1.043961129</v>
      </c>
      <c r="J39" s="11">
        <f t="shared" si="10"/>
        <v>1.019458946</v>
      </c>
      <c r="K39" s="11">
        <f t="shared" si="11"/>
        <v>1.009446694</v>
      </c>
    </row>
    <row r="40">
      <c r="A40" s="10" t="s">
        <v>11</v>
      </c>
      <c r="B40" s="11">
        <f t="shared" si="2"/>
        <v>1.037341837</v>
      </c>
      <c r="C40" s="11">
        <f t="shared" si="3"/>
        <v>1.007254821</v>
      </c>
      <c r="D40" s="11">
        <f t="shared" si="4"/>
        <v>0.9614512472</v>
      </c>
      <c r="E40" s="11">
        <f t="shared" si="5"/>
        <v>1.024453024</v>
      </c>
      <c r="F40" s="11">
        <f t="shared" si="6"/>
        <v>1.004549591</v>
      </c>
      <c r="G40" s="11">
        <f t="shared" si="7"/>
        <v>1.02889096</v>
      </c>
      <c r="H40" s="11">
        <f t="shared" si="8"/>
        <v>1.027953111</v>
      </c>
      <c r="I40" s="11">
        <f t="shared" si="9"/>
        <v>1.03285516</v>
      </c>
      <c r="J40" s="11">
        <f t="shared" si="10"/>
        <v>1.025154248</v>
      </c>
      <c r="K40" s="11">
        <f t="shared" si="11"/>
        <v>0.9932523617</v>
      </c>
    </row>
    <row r="41">
      <c r="A41" s="10" t="s">
        <v>12</v>
      </c>
      <c r="B41" s="11">
        <f t="shared" si="2"/>
        <v>1.02787779</v>
      </c>
      <c r="C41" s="11">
        <f t="shared" si="3"/>
        <v>1.047851746</v>
      </c>
      <c r="D41" s="11">
        <f t="shared" si="4"/>
        <v>1.088435374</v>
      </c>
      <c r="E41" s="11">
        <f t="shared" si="5"/>
        <v>1.055341055</v>
      </c>
      <c r="F41" s="11">
        <f t="shared" si="6"/>
        <v>1.037306642</v>
      </c>
      <c r="G41" s="11">
        <f t="shared" si="7"/>
        <v>1.045666356</v>
      </c>
      <c r="H41" s="11">
        <f t="shared" si="8"/>
        <v>1.04418395</v>
      </c>
      <c r="I41" s="11">
        <f t="shared" si="9"/>
        <v>1.043961129</v>
      </c>
      <c r="J41" s="11">
        <f t="shared" si="10"/>
        <v>1.047935453</v>
      </c>
      <c r="K41" s="11">
        <f t="shared" si="11"/>
        <v>0.9932523617</v>
      </c>
    </row>
    <row r="42">
      <c r="A42" s="10" t="s">
        <v>13</v>
      </c>
      <c r="B42" s="11">
        <f t="shared" si="2"/>
        <v>1.02787779</v>
      </c>
      <c r="C42" s="11">
        <f t="shared" si="3"/>
        <v>1.023944668</v>
      </c>
      <c r="D42" s="11">
        <f t="shared" si="4"/>
        <v>1.056689342</v>
      </c>
      <c r="E42" s="11">
        <f t="shared" si="5"/>
        <v>1.06048906</v>
      </c>
      <c r="F42" s="11">
        <f t="shared" si="6"/>
        <v>1.053685168</v>
      </c>
      <c r="G42" s="11">
        <f t="shared" si="7"/>
        <v>1.040074557</v>
      </c>
      <c r="H42" s="11">
        <f t="shared" si="8"/>
        <v>1.04418395</v>
      </c>
      <c r="I42" s="11">
        <f t="shared" si="9"/>
        <v>1.038408144</v>
      </c>
      <c r="J42" s="11">
        <f t="shared" si="10"/>
        <v>1.042240152</v>
      </c>
      <c r="K42" s="11">
        <f t="shared" si="11"/>
        <v>0.987854251</v>
      </c>
    </row>
    <row r="43">
      <c r="A43" s="10" t="s">
        <v>14</v>
      </c>
      <c r="B43" s="11">
        <f t="shared" si="2"/>
        <v>1.015944862</v>
      </c>
      <c r="C43" s="11">
        <f t="shared" si="3"/>
        <v>1.024846822</v>
      </c>
      <c r="D43" s="11">
        <f t="shared" si="4"/>
        <v>1.074829932</v>
      </c>
      <c r="E43" s="11">
        <f t="shared" si="5"/>
        <v>1.02960103</v>
      </c>
      <c r="F43" s="11">
        <f t="shared" si="6"/>
        <v>1.037306642</v>
      </c>
      <c r="G43" s="11">
        <f t="shared" si="7"/>
        <v>1.006523765</v>
      </c>
      <c r="H43" s="11">
        <f t="shared" si="8"/>
        <v>0.9846708747</v>
      </c>
      <c r="I43" s="11">
        <f t="shared" si="9"/>
        <v>0.9884312818</v>
      </c>
      <c r="J43" s="11">
        <f t="shared" si="10"/>
        <v>1.008068344</v>
      </c>
      <c r="K43" s="11">
        <f t="shared" si="11"/>
        <v>0.9824561404</v>
      </c>
    </row>
    <row r="44">
      <c r="A44" s="10" t="s">
        <v>15</v>
      </c>
      <c r="B44" s="11">
        <f t="shared" si="2"/>
        <v>1.002777492</v>
      </c>
      <c r="C44" s="11">
        <f t="shared" si="3"/>
        <v>1.015825283</v>
      </c>
      <c r="D44" s="11">
        <f t="shared" si="4"/>
        <v>1.034013605</v>
      </c>
      <c r="E44" s="11">
        <f t="shared" si="5"/>
        <v>1.003861004</v>
      </c>
      <c r="F44" s="11">
        <f t="shared" si="6"/>
        <v>0.9990900819</v>
      </c>
      <c r="G44" s="11">
        <f t="shared" si="7"/>
        <v>0.9673811743</v>
      </c>
      <c r="H44" s="11">
        <f t="shared" si="8"/>
        <v>0.9359783589</v>
      </c>
      <c r="I44" s="11">
        <f t="shared" si="9"/>
        <v>0.944007404</v>
      </c>
      <c r="J44" s="11">
        <f t="shared" si="10"/>
        <v>0.9795918367</v>
      </c>
      <c r="K44" s="11">
        <f t="shared" si="11"/>
        <v>0.9446693657</v>
      </c>
    </row>
    <row r="47">
      <c r="A47" s="14" t="s">
        <v>18</v>
      </c>
    </row>
    <row r="48">
      <c r="A48" s="5"/>
      <c r="B48" s="10">
        <v>2024.0</v>
      </c>
      <c r="C48" s="10">
        <v>2023.0</v>
      </c>
      <c r="D48" s="10">
        <v>2022.0</v>
      </c>
      <c r="E48" s="10">
        <v>2021.0</v>
      </c>
      <c r="F48" s="10">
        <v>2020.0</v>
      </c>
      <c r="G48" s="10">
        <v>2019.0</v>
      </c>
      <c r="H48" s="10">
        <v>2018.0</v>
      </c>
      <c r="I48" s="10">
        <v>2017.0</v>
      </c>
      <c r="J48" s="10">
        <v>2016.0</v>
      </c>
      <c r="K48" s="10">
        <v>2015.0</v>
      </c>
    </row>
    <row r="49">
      <c r="A49" s="10" t="s">
        <v>4</v>
      </c>
      <c r="B49" s="11">
        <f t="shared" ref="B49:B60" si="12">B33*$B$11</f>
        <v>23.69800638</v>
      </c>
      <c r="C49" s="11">
        <f t="shared" ref="C49:C60" si="13">C33*$B$10</f>
        <v>23.74099613</v>
      </c>
      <c r="D49" s="11">
        <f t="shared" ref="D49:D60" si="14">D33*$B$9</f>
        <v>24.01904762</v>
      </c>
      <c r="E49" s="11">
        <f t="shared" ref="E49:E60" si="15">E33*$B$8</f>
        <v>20.79181467</v>
      </c>
      <c r="F49" s="11">
        <f t="shared" ref="F49:F60" si="16">F33*$B$7</f>
        <v>20.38973612</v>
      </c>
      <c r="G49" s="11">
        <f t="shared" ref="G49:G60" si="17">G33*$B$6</f>
        <v>19.72490214</v>
      </c>
      <c r="H49" s="11">
        <f t="shared" ref="H49:H60" si="18">H33*$B$5</f>
        <v>19.91545537</v>
      </c>
      <c r="I49" s="11">
        <f t="shared" ref="I49:I60" si="19">I33*$B$4</f>
        <v>18.9923739</v>
      </c>
      <c r="J49" s="11">
        <f t="shared" ref="J49:J60" si="20">J33*$B$3</f>
        <v>17.79838633</v>
      </c>
      <c r="K49" s="11">
        <f t="shared" ref="K49:K60" si="21">K33*$B$2</f>
        <v>19.99282051</v>
      </c>
    </row>
    <row r="50">
      <c r="A50" s="10" t="s">
        <v>5</v>
      </c>
      <c r="B50" s="11">
        <f t="shared" si="12"/>
        <v>24.49670199</v>
      </c>
      <c r="C50" s="11">
        <f t="shared" si="13"/>
        <v>23.77121377</v>
      </c>
      <c r="D50" s="11">
        <f t="shared" si="14"/>
        <v>24.70530612</v>
      </c>
      <c r="E50" s="11">
        <f t="shared" si="15"/>
        <v>21.35989704</v>
      </c>
      <c r="F50" s="11">
        <f t="shared" si="16"/>
        <v>20.15803458</v>
      </c>
      <c r="G50" s="11">
        <f t="shared" si="17"/>
        <v>20.06695247</v>
      </c>
      <c r="H50" s="11">
        <f t="shared" si="18"/>
        <v>20.36299369</v>
      </c>
      <c r="I50" s="11">
        <f t="shared" si="19"/>
        <v>19.21193892</v>
      </c>
      <c r="J50" s="11">
        <f t="shared" si="20"/>
        <v>18.12199336</v>
      </c>
      <c r="K50" s="11">
        <f t="shared" si="21"/>
        <v>20.51076923</v>
      </c>
    </row>
    <row r="51">
      <c r="A51" s="10" t="s">
        <v>6</v>
      </c>
      <c r="B51" s="11">
        <f t="shared" si="12"/>
        <v>23.9002078</v>
      </c>
      <c r="C51" s="11">
        <f t="shared" si="13"/>
        <v>21.33365711</v>
      </c>
      <c r="D51" s="11">
        <f t="shared" si="14"/>
        <v>22.5321542</v>
      </c>
      <c r="E51" s="11">
        <f t="shared" si="15"/>
        <v>20.45096525</v>
      </c>
      <c r="F51" s="11">
        <f t="shared" si="16"/>
        <v>19.92633303</v>
      </c>
      <c r="G51" s="11">
        <f t="shared" si="17"/>
        <v>19.15481827</v>
      </c>
      <c r="H51" s="11">
        <f t="shared" si="18"/>
        <v>19.57980162</v>
      </c>
      <c r="I51" s="11">
        <f t="shared" si="19"/>
        <v>18.66302638</v>
      </c>
      <c r="J51" s="11">
        <f t="shared" si="20"/>
        <v>18.22986236</v>
      </c>
      <c r="K51" s="11">
        <f t="shared" si="21"/>
        <v>19.68205128</v>
      </c>
    </row>
    <row r="52">
      <c r="A52" s="10" t="s">
        <v>7</v>
      </c>
      <c r="B52" s="11">
        <f t="shared" si="12"/>
        <v>23.22283304</v>
      </c>
      <c r="C52" s="11">
        <f t="shared" si="13"/>
        <v>19.953718</v>
      </c>
      <c r="D52" s="11">
        <f t="shared" si="14"/>
        <v>24.13342404</v>
      </c>
      <c r="E52" s="11">
        <f t="shared" si="15"/>
        <v>21.01904762</v>
      </c>
      <c r="F52" s="11">
        <f t="shared" si="16"/>
        <v>20.0421838</v>
      </c>
      <c r="G52" s="11">
        <f t="shared" si="17"/>
        <v>19.95293569</v>
      </c>
      <c r="H52" s="11">
        <f t="shared" si="18"/>
        <v>20.13922453</v>
      </c>
      <c r="I52" s="11">
        <f t="shared" si="19"/>
        <v>18.9923739</v>
      </c>
      <c r="J52" s="11">
        <f t="shared" si="20"/>
        <v>18.7692074</v>
      </c>
      <c r="K52" s="11">
        <f t="shared" si="21"/>
        <v>18.43897436</v>
      </c>
    </row>
    <row r="53">
      <c r="A53" s="10" t="s">
        <v>8</v>
      </c>
      <c r="B53" s="11">
        <f t="shared" si="12"/>
        <v>23.85976751</v>
      </c>
      <c r="C53" s="11">
        <f t="shared" si="13"/>
        <v>20.61850618</v>
      </c>
      <c r="D53" s="11">
        <f t="shared" si="14"/>
        <v>25.04843537</v>
      </c>
      <c r="E53" s="11">
        <f t="shared" si="15"/>
        <v>22.60967825</v>
      </c>
      <c r="F53" s="11">
        <f t="shared" si="16"/>
        <v>21.43239308</v>
      </c>
      <c r="G53" s="11">
        <f t="shared" si="17"/>
        <v>19.72490214</v>
      </c>
      <c r="H53" s="11">
        <f t="shared" si="18"/>
        <v>20.69864743</v>
      </c>
      <c r="I53" s="11">
        <f t="shared" si="19"/>
        <v>20.309764</v>
      </c>
      <c r="J53" s="11">
        <f t="shared" si="20"/>
        <v>19.09281443</v>
      </c>
      <c r="K53" s="11">
        <f t="shared" si="21"/>
        <v>18.74974359</v>
      </c>
    </row>
    <row r="54">
      <c r="A54" s="10" t="s">
        <v>9</v>
      </c>
      <c r="B54" s="11">
        <f t="shared" si="12"/>
        <v>24.77978397</v>
      </c>
      <c r="C54" s="11">
        <f t="shared" si="13"/>
        <v>21.78692178</v>
      </c>
      <c r="D54" s="11">
        <f t="shared" si="14"/>
        <v>25.62031746</v>
      </c>
      <c r="E54" s="11">
        <f t="shared" si="15"/>
        <v>22.15521236</v>
      </c>
      <c r="F54" s="11">
        <f t="shared" si="16"/>
        <v>22.12749773</v>
      </c>
      <c r="G54" s="11">
        <f t="shared" si="17"/>
        <v>21.09310345</v>
      </c>
      <c r="H54" s="11">
        <f t="shared" si="18"/>
        <v>21.59372408</v>
      </c>
      <c r="I54" s="11">
        <f t="shared" si="19"/>
        <v>20.63911152</v>
      </c>
      <c r="J54" s="11">
        <f t="shared" si="20"/>
        <v>19.30855244</v>
      </c>
      <c r="K54" s="11">
        <f t="shared" si="21"/>
        <v>19.47487179</v>
      </c>
    </row>
    <row r="55">
      <c r="A55" s="10" t="s">
        <v>10</v>
      </c>
      <c r="B55" s="11">
        <f t="shared" si="12"/>
        <v>25.28528752</v>
      </c>
      <c r="C55" s="11">
        <f t="shared" si="13"/>
        <v>22.43156486</v>
      </c>
      <c r="D55" s="11">
        <f t="shared" si="14"/>
        <v>25.04843537</v>
      </c>
      <c r="E55" s="11">
        <f t="shared" si="15"/>
        <v>22.26882883</v>
      </c>
      <c r="F55" s="11">
        <f t="shared" si="16"/>
        <v>21.66409463</v>
      </c>
      <c r="G55" s="11">
        <f t="shared" si="17"/>
        <v>21.20712022</v>
      </c>
      <c r="H55" s="11">
        <f t="shared" si="18"/>
        <v>21.70560866</v>
      </c>
      <c r="I55" s="11">
        <f t="shared" si="19"/>
        <v>20.63911152</v>
      </c>
      <c r="J55" s="11">
        <f t="shared" si="20"/>
        <v>19.30855244</v>
      </c>
      <c r="K55" s="11">
        <f t="shared" si="21"/>
        <v>19.37128205</v>
      </c>
    </row>
    <row r="56">
      <c r="A56" s="10" t="s">
        <v>11</v>
      </c>
      <c r="B56" s="11">
        <f t="shared" si="12"/>
        <v>25.48748894</v>
      </c>
      <c r="C56" s="11">
        <f t="shared" si="13"/>
        <v>22.49200015</v>
      </c>
      <c r="D56" s="11">
        <f t="shared" si="14"/>
        <v>24.24780045</v>
      </c>
      <c r="E56" s="11">
        <f t="shared" si="15"/>
        <v>22.60967825</v>
      </c>
      <c r="F56" s="11">
        <f t="shared" si="16"/>
        <v>21.31654231</v>
      </c>
      <c r="G56" s="11">
        <f t="shared" si="17"/>
        <v>20.97908667</v>
      </c>
      <c r="H56" s="11">
        <f t="shared" si="18"/>
        <v>21.25807033</v>
      </c>
      <c r="I56" s="11">
        <f t="shared" si="19"/>
        <v>20.41954651</v>
      </c>
      <c r="J56" s="11">
        <f t="shared" si="20"/>
        <v>19.41642145</v>
      </c>
      <c r="K56" s="11">
        <f t="shared" si="21"/>
        <v>19.06051282</v>
      </c>
    </row>
    <row r="57">
      <c r="A57" s="10" t="s">
        <v>12</v>
      </c>
      <c r="B57" s="11">
        <f t="shared" si="12"/>
        <v>25.25495731</v>
      </c>
      <c r="C57" s="11">
        <f t="shared" si="13"/>
        <v>23.39852949</v>
      </c>
      <c r="D57" s="11">
        <f t="shared" si="14"/>
        <v>27.45034014</v>
      </c>
      <c r="E57" s="11">
        <f t="shared" si="15"/>
        <v>23.29137709</v>
      </c>
      <c r="F57" s="11">
        <f t="shared" si="16"/>
        <v>22.01164695</v>
      </c>
      <c r="G57" s="11">
        <f t="shared" si="17"/>
        <v>21.321137</v>
      </c>
      <c r="H57" s="11">
        <f t="shared" si="18"/>
        <v>21.59372408</v>
      </c>
      <c r="I57" s="11">
        <f t="shared" si="19"/>
        <v>20.63911152</v>
      </c>
      <c r="J57" s="11">
        <f t="shared" si="20"/>
        <v>19.84789748</v>
      </c>
      <c r="K57" s="11">
        <f t="shared" si="21"/>
        <v>19.06051282</v>
      </c>
    </row>
    <row r="58">
      <c r="A58" s="10" t="s">
        <v>13</v>
      </c>
      <c r="B58" s="11">
        <f t="shared" si="12"/>
        <v>25.25495731</v>
      </c>
      <c r="C58" s="11">
        <f t="shared" si="13"/>
        <v>22.86468443</v>
      </c>
      <c r="D58" s="11">
        <f t="shared" si="14"/>
        <v>26.64970522</v>
      </c>
      <c r="E58" s="11">
        <f t="shared" si="15"/>
        <v>23.40499356</v>
      </c>
      <c r="F58" s="11">
        <f t="shared" si="16"/>
        <v>22.35919927</v>
      </c>
      <c r="G58" s="11">
        <f t="shared" si="17"/>
        <v>21.20712022</v>
      </c>
      <c r="H58" s="11">
        <f t="shared" si="18"/>
        <v>21.59372408</v>
      </c>
      <c r="I58" s="11">
        <f t="shared" si="19"/>
        <v>20.52932901</v>
      </c>
      <c r="J58" s="11">
        <f t="shared" si="20"/>
        <v>19.74002848</v>
      </c>
      <c r="K58" s="11">
        <f t="shared" si="21"/>
        <v>18.95692308</v>
      </c>
    </row>
    <row r="59">
      <c r="A59" s="10" t="s">
        <v>14</v>
      </c>
      <c r="B59" s="11">
        <f t="shared" si="12"/>
        <v>24.96176525</v>
      </c>
      <c r="C59" s="11">
        <f t="shared" si="13"/>
        <v>22.88482953</v>
      </c>
      <c r="D59" s="11">
        <f t="shared" si="14"/>
        <v>27.10721088</v>
      </c>
      <c r="E59" s="11">
        <f t="shared" si="15"/>
        <v>22.72329472</v>
      </c>
      <c r="F59" s="11">
        <f t="shared" si="16"/>
        <v>22.01164695</v>
      </c>
      <c r="G59" s="11">
        <f t="shared" si="17"/>
        <v>20.52301957</v>
      </c>
      <c r="H59" s="11">
        <f t="shared" si="18"/>
        <v>20.36299369</v>
      </c>
      <c r="I59" s="11">
        <f t="shared" si="19"/>
        <v>19.54128644</v>
      </c>
      <c r="J59" s="11">
        <f t="shared" si="20"/>
        <v>19.09281443</v>
      </c>
      <c r="K59" s="11">
        <f t="shared" si="21"/>
        <v>18.85333333</v>
      </c>
    </row>
    <row r="60">
      <c r="A60" s="10" t="s">
        <v>15</v>
      </c>
      <c r="B60" s="11">
        <f t="shared" si="12"/>
        <v>24.63824298</v>
      </c>
      <c r="C60" s="11">
        <f t="shared" si="13"/>
        <v>22.68337857</v>
      </c>
      <c r="D60" s="11">
        <f t="shared" si="14"/>
        <v>26.07782313</v>
      </c>
      <c r="E60" s="11">
        <f t="shared" si="15"/>
        <v>22.15521236</v>
      </c>
      <c r="F60" s="11">
        <f t="shared" si="16"/>
        <v>21.20069154</v>
      </c>
      <c r="G60" s="11">
        <f t="shared" si="17"/>
        <v>19.72490214</v>
      </c>
      <c r="H60" s="11">
        <f t="shared" si="18"/>
        <v>19.35603246</v>
      </c>
      <c r="I60" s="11">
        <f t="shared" si="19"/>
        <v>18.66302638</v>
      </c>
      <c r="J60" s="11">
        <f t="shared" si="20"/>
        <v>18.55346939</v>
      </c>
      <c r="K60" s="11">
        <f t="shared" si="21"/>
        <v>18.12820513</v>
      </c>
    </row>
    <row r="63">
      <c r="A63" s="14" t="s">
        <v>19</v>
      </c>
    </row>
    <row r="64">
      <c r="A64" s="5"/>
      <c r="B64" s="10">
        <v>2024.0</v>
      </c>
      <c r="C64" s="10">
        <v>2023.0</v>
      </c>
      <c r="D64" s="10">
        <v>2022.0</v>
      </c>
      <c r="E64" s="10">
        <v>2021.0</v>
      </c>
      <c r="F64" s="10">
        <v>2020.0</v>
      </c>
      <c r="G64" s="10">
        <v>2019.0</v>
      </c>
      <c r="H64" s="10">
        <v>2018.0</v>
      </c>
      <c r="I64" s="10">
        <v>2017.0</v>
      </c>
      <c r="J64" s="10">
        <v>2016.0</v>
      </c>
      <c r="K64" s="10">
        <v>2015.0</v>
      </c>
    </row>
    <row r="65">
      <c r="A65" s="10" t="s">
        <v>4</v>
      </c>
      <c r="B65" s="11">
        <f t="shared" ref="B65:B76" si="22">B33*$C$11</f>
        <v>24.24777698</v>
      </c>
      <c r="C65" s="11">
        <f t="shared" ref="C65:C76" si="23">C33*$C$10</f>
        <v>26.71792354</v>
      </c>
      <c r="D65" s="11">
        <f t="shared" ref="D65:D76" si="24">D33*$C$9</f>
        <v>21.2</v>
      </c>
      <c r="E65" s="11">
        <f t="shared" ref="E65:E76" si="25">E33*$C$8</f>
        <v>17.45683398</v>
      </c>
      <c r="F65" s="11">
        <f t="shared" ref="F65:F76" si="26">F33*$C$7</f>
        <v>16.88254777</v>
      </c>
      <c r="G65" s="11">
        <f t="shared" ref="G65:G76" si="27">G33*$C$6</f>
        <v>16.62928239</v>
      </c>
      <c r="H65" s="11">
        <f t="shared" ref="H65:H76" si="28">H33*$C$5</f>
        <v>17.90272317</v>
      </c>
      <c r="I65" s="11">
        <f t="shared" ref="I65:I76" si="29">I33*$C$4</f>
        <v>16.36975474</v>
      </c>
      <c r="J65" s="11">
        <f t="shared" ref="J65:J76" si="30">J33*$C$3</f>
        <v>15.4866635</v>
      </c>
      <c r="K65" s="11">
        <f t="shared" ref="K65:K76" si="31">K33*$C$2</f>
        <v>18.40923077</v>
      </c>
    </row>
    <row r="66">
      <c r="A66" s="10" t="s">
        <v>5</v>
      </c>
      <c r="B66" s="11">
        <f t="shared" si="22"/>
        <v>25.06500154</v>
      </c>
      <c r="C66" s="11">
        <f t="shared" si="23"/>
        <v>26.75193023</v>
      </c>
      <c r="D66" s="11">
        <f t="shared" si="24"/>
        <v>21.80571429</v>
      </c>
      <c r="E66" s="11">
        <f t="shared" si="25"/>
        <v>17.93379665</v>
      </c>
      <c r="F66" s="11">
        <f t="shared" si="26"/>
        <v>16.69070064</v>
      </c>
      <c r="G66" s="11">
        <f t="shared" si="27"/>
        <v>16.91765144</v>
      </c>
      <c r="H66" s="11">
        <f t="shared" si="28"/>
        <v>18.30503156</v>
      </c>
      <c r="I66" s="11">
        <f t="shared" si="29"/>
        <v>16.55900046</v>
      </c>
      <c r="J66" s="11">
        <f t="shared" si="30"/>
        <v>15.7682392</v>
      </c>
      <c r="K66" s="11">
        <f t="shared" si="31"/>
        <v>18.88615385</v>
      </c>
    </row>
    <row r="67">
      <c r="A67" s="10" t="s">
        <v>6</v>
      </c>
      <c r="B67" s="11">
        <f t="shared" si="22"/>
        <v>24.45466927</v>
      </c>
      <c r="C67" s="11">
        <f t="shared" si="23"/>
        <v>24.00872383</v>
      </c>
      <c r="D67" s="11">
        <f t="shared" si="24"/>
        <v>19.88761905</v>
      </c>
      <c r="E67" s="11">
        <f t="shared" si="25"/>
        <v>17.17065637</v>
      </c>
      <c r="F67" s="11">
        <f t="shared" si="26"/>
        <v>16.4988535</v>
      </c>
      <c r="G67" s="11">
        <f t="shared" si="27"/>
        <v>16.14866729</v>
      </c>
      <c r="H67" s="11">
        <f t="shared" si="28"/>
        <v>17.60099188</v>
      </c>
      <c r="I67" s="11">
        <f t="shared" si="29"/>
        <v>16.08588616</v>
      </c>
      <c r="J67" s="11">
        <f t="shared" si="30"/>
        <v>15.86209777</v>
      </c>
      <c r="K67" s="11">
        <f t="shared" si="31"/>
        <v>18.12307692</v>
      </c>
    </row>
    <row r="68">
      <c r="A68" s="10" t="s">
        <v>7</v>
      </c>
      <c r="B68" s="11">
        <f t="shared" si="22"/>
        <v>23.76158008</v>
      </c>
      <c r="C68" s="11">
        <f t="shared" si="23"/>
        <v>22.45575161</v>
      </c>
      <c r="D68" s="11">
        <f t="shared" si="24"/>
        <v>21.30095238</v>
      </c>
      <c r="E68" s="11">
        <f t="shared" si="25"/>
        <v>17.64761905</v>
      </c>
      <c r="F68" s="11">
        <f t="shared" si="26"/>
        <v>16.59477707</v>
      </c>
      <c r="G68" s="11">
        <f t="shared" si="27"/>
        <v>16.82152842</v>
      </c>
      <c r="H68" s="11">
        <f t="shared" si="28"/>
        <v>18.10387737</v>
      </c>
      <c r="I68" s="11">
        <f t="shared" si="29"/>
        <v>16.36975474</v>
      </c>
      <c r="J68" s="11">
        <f t="shared" si="30"/>
        <v>16.3313906</v>
      </c>
      <c r="K68" s="11">
        <f t="shared" si="31"/>
        <v>16.97846154</v>
      </c>
    </row>
    <row r="69">
      <c r="A69" s="10" t="s">
        <v>8</v>
      </c>
      <c r="B69" s="11">
        <f t="shared" si="22"/>
        <v>24.41329081</v>
      </c>
      <c r="C69" s="11">
        <f t="shared" si="23"/>
        <v>23.20389881</v>
      </c>
      <c r="D69" s="11">
        <f t="shared" si="24"/>
        <v>22.10857143</v>
      </c>
      <c r="E69" s="11">
        <f t="shared" si="25"/>
        <v>18.98311454</v>
      </c>
      <c r="F69" s="11">
        <f t="shared" si="26"/>
        <v>17.74585987</v>
      </c>
      <c r="G69" s="11">
        <f t="shared" si="27"/>
        <v>16.62928239</v>
      </c>
      <c r="H69" s="11">
        <f t="shared" si="28"/>
        <v>18.60676285</v>
      </c>
      <c r="I69" s="11">
        <f t="shared" si="29"/>
        <v>17.50522906</v>
      </c>
      <c r="J69" s="11">
        <f t="shared" si="30"/>
        <v>16.6129663</v>
      </c>
      <c r="K69" s="11">
        <f t="shared" si="31"/>
        <v>17.26461538</v>
      </c>
    </row>
    <row r="70">
      <c r="A70" s="10" t="s">
        <v>9</v>
      </c>
      <c r="B70" s="11">
        <f t="shared" si="22"/>
        <v>25.35465076</v>
      </c>
      <c r="C70" s="11">
        <f t="shared" si="23"/>
        <v>24.51882419</v>
      </c>
      <c r="D70" s="11">
        <f t="shared" si="24"/>
        <v>22.61333333</v>
      </c>
      <c r="E70" s="11">
        <f t="shared" si="25"/>
        <v>18.6015444</v>
      </c>
      <c r="F70" s="11">
        <f t="shared" si="26"/>
        <v>18.32140127</v>
      </c>
      <c r="G70" s="11">
        <f t="shared" si="27"/>
        <v>17.78275862</v>
      </c>
      <c r="H70" s="11">
        <f t="shared" si="28"/>
        <v>19.41137962</v>
      </c>
      <c r="I70" s="11">
        <f t="shared" si="29"/>
        <v>17.78909764</v>
      </c>
      <c r="J70" s="11">
        <f t="shared" si="30"/>
        <v>16.80068344</v>
      </c>
      <c r="K70" s="11">
        <f t="shared" si="31"/>
        <v>17.93230769</v>
      </c>
    </row>
    <row r="71">
      <c r="A71" s="10" t="s">
        <v>10</v>
      </c>
      <c r="B71" s="11">
        <f t="shared" si="22"/>
        <v>25.87188149</v>
      </c>
      <c r="C71" s="11">
        <f t="shared" si="23"/>
        <v>25.24430027</v>
      </c>
      <c r="D71" s="11">
        <f t="shared" si="24"/>
        <v>22.10857143</v>
      </c>
      <c r="E71" s="11">
        <f t="shared" si="25"/>
        <v>18.69693694</v>
      </c>
      <c r="F71" s="11">
        <f t="shared" si="26"/>
        <v>17.93770701</v>
      </c>
      <c r="G71" s="11">
        <f t="shared" si="27"/>
        <v>17.87888164</v>
      </c>
      <c r="H71" s="11">
        <f t="shared" si="28"/>
        <v>19.51195672</v>
      </c>
      <c r="I71" s="11">
        <f t="shared" si="29"/>
        <v>17.78909764</v>
      </c>
      <c r="J71" s="11">
        <f t="shared" si="30"/>
        <v>16.80068344</v>
      </c>
      <c r="K71" s="11">
        <f t="shared" si="31"/>
        <v>17.83692308</v>
      </c>
    </row>
    <row r="72">
      <c r="A72" s="10" t="s">
        <v>11</v>
      </c>
      <c r="B72" s="11">
        <f t="shared" si="22"/>
        <v>26.07877379</v>
      </c>
      <c r="C72" s="11">
        <f t="shared" si="23"/>
        <v>25.31231365</v>
      </c>
      <c r="D72" s="11">
        <f t="shared" si="24"/>
        <v>21.40190476</v>
      </c>
      <c r="E72" s="11">
        <f t="shared" si="25"/>
        <v>18.98311454</v>
      </c>
      <c r="F72" s="11">
        <f t="shared" si="26"/>
        <v>17.64993631</v>
      </c>
      <c r="G72" s="11">
        <f t="shared" si="27"/>
        <v>17.6866356</v>
      </c>
      <c r="H72" s="11">
        <f t="shared" si="28"/>
        <v>19.10964833</v>
      </c>
      <c r="I72" s="11">
        <f t="shared" si="29"/>
        <v>17.59985192</v>
      </c>
      <c r="J72" s="11">
        <f t="shared" si="30"/>
        <v>16.894542</v>
      </c>
      <c r="K72" s="11">
        <f t="shared" si="31"/>
        <v>17.55076923</v>
      </c>
    </row>
    <row r="73">
      <c r="A73" s="10" t="s">
        <v>12</v>
      </c>
      <c r="B73" s="11">
        <f t="shared" si="22"/>
        <v>25.84084765</v>
      </c>
      <c r="C73" s="11">
        <f t="shared" si="23"/>
        <v>26.33251438</v>
      </c>
      <c r="D73" s="11">
        <f t="shared" si="24"/>
        <v>24.22857143</v>
      </c>
      <c r="E73" s="11">
        <f t="shared" si="25"/>
        <v>19.55546976</v>
      </c>
      <c r="F73" s="11">
        <f t="shared" si="26"/>
        <v>18.22547771</v>
      </c>
      <c r="G73" s="11">
        <f t="shared" si="27"/>
        <v>17.97500466</v>
      </c>
      <c r="H73" s="11">
        <f t="shared" si="28"/>
        <v>19.41137962</v>
      </c>
      <c r="I73" s="11">
        <f t="shared" si="29"/>
        <v>17.78909764</v>
      </c>
      <c r="J73" s="11">
        <f t="shared" si="30"/>
        <v>17.26997627</v>
      </c>
      <c r="K73" s="11">
        <f t="shared" si="31"/>
        <v>17.55076923</v>
      </c>
    </row>
    <row r="74">
      <c r="A74" s="10" t="s">
        <v>13</v>
      </c>
      <c r="B74" s="11">
        <f t="shared" si="22"/>
        <v>25.84084765</v>
      </c>
      <c r="C74" s="11">
        <f t="shared" si="23"/>
        <v>25.7317295</v>
      </c>
      <c r="D74" s="11">
        <f t="shared" si="24"/>
        <v>23.52190476</v>
      </c>
      <c r="E74" s="11">
        <f t="shared" si="25"/>
        <v>19.65086229</v>
      </c>
      <c r="F74" s="11">
        <f t="shared" si="26"/>
        <v>18.51324841</v>
      </c>
      <c r="G74" s="11">
        <f t="shared" si="27"/>
        <v>17.87888164</v>
      </c>
      <c r="H74" s="11">
        <f t="shared" si="28"/>
        <v>19.41137962</v>
      </c>
      <c r="I74" s="11">
        <f t="shared" si="29"/>
        <v>17.69447478</v>
      </c>
      <c r="J74" s="11">
        <f t="shared" si="30"/>
        <v>17.1761177</v>
      </c>
      <c r="K74" s="11">
        <f t="shared" si="31"/>
        <v>17.45538462</v>
      </c>
    </row>
    <row r="75">
      <c r="A75" s="10" t="s">
        <v>14</v>
      </c>
      <c r="B75" s="11">
        <f t="shared" si="22"/>
        <v>25.54085382</v>
      </c>
      <c r="C75" s="11">
        <f t="shared" si="23"/>
        <v>25.75440063</v>
      </c>
      <c r="D75" s="11">
        <f t="shared" si="24"/>
        <v>23.92571429</v>
      </c>
      <c r="E75" s="11">
        <f t="shared" si="25"/>
        <v>19.07850708</v>
      </c>
      <c r="F75" s="11">
        <f t="shared" si="26"/>
        <v>18.22547771</v>
      </c>
      <c r="G75" s="11">
        <f t="shared" si="27"/>
        <v>17.30214352</v>
      </c>
      <c r="H75" s="11">
        <f t="shared" si="28"/>
        <v>18.30503156</v>
      </c>
      <c r="I75" s="11">
        <f t="shared" si="29"/>
        <v>16.84286904</v>
      </c>
      <c r="J75" s="11">
        <f t="shared" si="30"/>
        <v>16.6129663</v>
      </c>
      <c r="K75" s="11">
        <f t="shared" si="31"/>
        <v>17.36</v>
      </c>
    </row>
    <row r="76">
      <c r="A76" s="10" t="s">
        <v>15</v>
      </c>
      <c r="B76" s="11">
        <f t="shared" si="22"/>
        <v>25.20982615</v>
      </c>
      <c r="C76" s="11">
        <f t="shared" si="23"/>
        <v>25.52768936</v>
      </c>
      <c r="D76" s="11">
        <f t="shared" si="24"/>
        <v>23.01714286</v>
      </c>
      <c r="E76" s="11">
        <f t="shared" si="25"/>
        <v>18.6015444</v>
      </c>
      <c r="F76" s="11">
        <f t="shared" si="26"/>
        <v>17.55401274</v>
      </c>
      <c r="G76" s="11">
        <f t="shared" si="27"/>
        <v>16.62928239</v>
      </c>
      <c r="H76" s="11">
        <f t="shared" si="28"/>
        <v>17.39983769</v>
      </c>
      <c r="I76" s="11">
        <f t="shared" si="29"/>
        <v>16.08588616</v>
      </c>
      <c r="J76" s="11">
        <f t="shared" si="30"/>
        <v>16.14367347</v>
      </c>
      <c r="K76" s="11">
        <f t="shared" si="31"/>
        <v>16.69230769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0.25"/>
    <col customWidth="1" min="3" max="3" width="36.88"/>
    <col customWidth="1" min="4" max="4" width="24.25"/>
    <col customWidth="1" min="5" max="5" width="22.13"/>
    <col customWidth="1" min="6" max="6" width="19.13"/>
    <col customWidth="1" min="7" max="7" width="20.25"/>
    <col customWidth="1" min="8" max="8" width="20.13"/>
    <col customWidth="1" min="9" max="9" width="20.38"/>
    <col customWidth="1" min="10" max="10" width="20.63"/>
    <col customWidth="1" min="11" max="11" width="20.38"/>
  </cols>
  <sheetData>
    <row r="1">
      <c r="A1" s="1" t="s">
        <v>20</v>
      </c>
      <c r="B1" s="2" t="s">
        <v>1</v>
      </c>
      <c r="C1" s="2" t="s">
        <v>2</v>
      </c>
    </row>
    <row r="2">
      <c r="A2" s="2">
        <v>2015.0</v>
      </c>
      <c r="B2" s="3">
        <v>17.46</v>
      </c>
      <c r="C2" s="3">
        <v>13.94</v>
      </c>
    </row>
    <row r="3">
      <c r="A3" s="2">
        <v>2016.0</v>
      </c>
      <c r="B3" s="3">
        <v>16.72</v>
      </c>
      <c r="C3" s="3">
        <v>12.67</v>
      </c>
    </row>
    <row r="4">
      <c r="A4" s="2">
        <v>2017.0</v>
      </c>
      <c r="B4" s="3">
        <v>18.75</v>
      </c>
      <c r="C4" s="3">
        <v>12.89</v>
      </c>
    </row>
    <row r="5">
      <c r="A5" s="2">
        <v>2018.0</v>
      </c>
      <c r="B5" s="3">
        <v>18.79</v>
      </c>
      <c r="C5" s="3">
        <v>14.01</v>
      </c>
    </row>
    <row r="6">
      <c r="A6" s="2">
        <v>2019.0</v>
      </c>
      <c r="B6" s="3">
        <v>18.27</v>
      </c>
      <c r="C6" s="3">
        <v>13.01</v>
      </c>
    </row>
    <row r="7">
      <c r="A7" s="2">
        <v>2020.0</v>
      </c>
      <c r="B7" s="3">
        <v>18.81</v>
      </c>
      <c r="C7" s="3">
        <v>13.23</v>
      </c>
    </row>
    <row r="8">
      <c r="A8" s="2">
        <v>2021.0</v>
      </c>
      <c r="B8" s="3">
        <v>20.16</v>
      </c>
      <c r="C8" s="3">
        <v>15.41</v>
      </c>
    </row>
    <row r="9">
      <c r="A9" s="2">
        <v>2022.0</v>
      </c>
      <c r="B9" s="3">
        <v>22.48</v>
      </c>
      <c r="C9" s="3">
        <v>19.62</v>
      </c>
    </row>
    <row r="10">
      <c r="A10" s="2">
        <v>2023.0</v>
      </c>
      <c r="B10" s="3">
        <v>19.83</v>
      </c>
      <c r="C10" s="3">
        <v>18.09</v>
      </c>
    </row>
    <row r="11">
      <c r="A11" s="2">
        <v>2024.0</v>
      </c>
      <c r="B11" s="3">
        <v>21.46</v>
      </c>
      <c r="C11" s="3">
        <v>17.42</v>
      </c>
    </row>
    <row r="14">
      <c r="A14" s="14" t="s">
        <v>21</v>
      </c>
    </row>
    <row r="15">
      <c r="A15" s="13"/>
      <c r="B15" s="10">
        <v>2024.0</v>
      </c>
      <c r="C15" s="10">
        <v>2023.0</v>
      </c>
      <c r="D15" s="10">
        <v>2022.0</v>
      </c>
      <c r="E15" s="10">
        <v>2021.0</v>
      </c>
      <c r="F15" s="10">
        <v>2020.0</v>
      </c>
      <c r="G15" s="10">
        <v>2019.0</v>
      </c>
      <c r="H15" s="10">
        <v>2018.0</v>
      </c>
      <c r="I15" s="10">
        <v>2017.0</v>
      </c>
      <c r="J15" s="10">
        <v>2016.0</v>
      </c>
      <c r="K15" s="10">
        <v>2015.0</v>
      </c>
    </row>
    <row r="16">
      <c r="A16" s="10" t="s">
        <v>4</v>
      </c>
      <c r="B16" s="11">
        <v>18.07</v>
      </c>
      <c r="C16" s="11">
        <v>18.04</v>
      </c>
      <c r="D16" s="11">
        <v>16.6</v>
      </c>
      <c r="E16" s="11">
        <v>14.2</v>
      </c>
      <c r="F16" s="11">
        <v>13.1</v>
      </c>
      <c r="G16" s="11">
        <v>13.0</v>
      </c>
      <c r="H16" s="11">
        <v>14.4</v>
      </c>
      <c r="I16" s="11">
        <v>13.9</v>
      </c>
      <c r="J16" s="11">
        <v>13.4</v>
      </c>
      <c r="K16" s="11">
        <v>14.6</v>
      </c>
    </row>
    <row r="17">
      <c r="A17" s="10" t="s">
        <v>5</v>
      </c>
      <c r="B17" s="11">
        <v>18.58</v>
      </c>
      <c r="C17" s="11">
        <v>16.48</v>
      </c>
      <c r="D17" s="11">
        <v>17.4</v>
      </c>
      <c r="E17" s="11">
        <v>15.2</v>
      </c>
      <c r="F17" s="11">
        <v>13.2</v>
      </c>
      <c r="G17" s="11">
        <v>13.1</v>
      </c>
      <c r="H17" s="11">
        <v>13.6</v>
      </c>
      <c r="I17" s="11">
        <v>13.4</v>
      </c>
      <c r="J17" s="11">
        <v>13.6</v>
      </c>
      <c r="K17" s="11">
        <v>16.0</v>
      </c>
    </row>
    <row r="18">
      <c r="A18" s="10" t="s">
        <v>6</v>
      </c>
      <c r="B18" s="11">
        <v>17.46</v>
      </c>
      <c r="C18" s="11">
        <v>16.8</v>
      </c>
      <c r="D18" s="11">
        <v>16.2</v>
      </c>
      <c r="E18" s="11">
        <v>15.0</v>
      </c>
      <c r="F18" s="11">
        <v>13.3</v>
      </c>
      <c r="G18" s="11">
        <v>12.9</v>
      </c>
      <c r="H18" s="11">
        <v>13.4</v>
      </c>
      <c r="I18" s="11">
        <v>14.2</v>
      </c>
      <c r="J18" s="11">
        <v>13.6</v>
      </c>
      <c r="K18" s="11">
        <v>15.1</v>
      </c>
    </row>
    <row r="19">
      <c r="A19" s="10" t="s">
        <v>7</v>
      </c>
      <c r="B19" s="11">
        <v>17.56</v>
      </c>
      <c r="C19" s="11">
        <v>16.24</v>
      </c>
      <c r="D19" s="11">
        <v>16.3</v>
      </c>
      <c r="E19" s="11">
        <v>15.9</v>
      </c>
      <c r="F19" s="11">
        <v>13.2</v>
      </c>
      <c r="G19" s="11">
        <v>13.1</v>
      </c>
      <c r="H19" s="11">
        <v>13.4</v>
      </c>
      <c r="I19" s="11">
        <v>13.8</v>
      </c>
      <c r="J19" s="11">
        <v>13.8</v>
      </c>
      <c r="K19" s="11">
        <v>14.5</v>
      </c>
    </row>
    <row r="20">
      <c r="A20" s="10" t="s">
        <v>8</v>
      </c>
      <c r="B20" s="11">
        <v>17.72</v>
      </c>
      <c r="C20" s="11">
        <v>16.47</v>
      </c>
      <c r="D20" s="11">
        <v>16.9</v>
      </c>
      <c r="E20" s="11">
        <v>15.6</v>
      </c>
      <c r="F20" s="11">
        <v>13.9</v>
      </c>
      <c r="G20" s="11">
        <v>13.4</v>
      </c>
      <c r="H20" s="11">
        <v>13.7</v>
      </c>
      <c r="I20" s="11">
        <v>14.6</v>
      </c>
      <c r="J20" s="11">
        <v>13.6</v>
      </c>
      <c r="K20" s="11">
        <v>14.5</v>
      </c>
    </row>
    <row r="21">
      <c r="A21" s="10" t="s">
        <v>9</v>
      </c>
      <c r="B21" s="11">
        <v>19.48</v>
      </c>
      <c r="C21" s="11">
        <v>18.47</v>
      </c>
      <c r="D21" s="11">
        <v>19.4</v>
      </c>
      <c r="E21" s="11">
        <v>17.1</v>
      </c>
      <c r="F21" s="11">
        <v>15.7</v>
      </c>
      <c r="G21" s="11">
        <v>14.8</v>
      </c>
      <c r="H21" s="11">
        <v>15.1</v>
      </c>
      <c r="I21" s="11">
        <v>16.0</v>
      </c>
      <c r="J21" s="11">
        <v>15.1</v>
      </c>
      <c r="K21" s="11">
        <v>15.8</v>
      </c>
    </row>
    <row r="22">
      <c r="A22" s="10" t="s">
        <v>10</v>
      </c>
      <c r="B22" s="11">
        <v>20.51</v>
      </c>
      <c r="C22" s="11">
        <v>19.75</v>
      </c>
      <c r="D22" s="11">
        <v>20.0</v>
      </c>
      <c r="E22" s="11">
        <v>18.4</v>
      </c>
      <c r="F22" s="11">
        <v>15.8</v>
      </c>
      <c r="G22" s="11">
        <v>15.3</v>
      </c>
      <c r="H22" s="11">
        <v>16.1</v>
      </c>
      <c r="I22" s="11">
        <v>16.1</v>
      </c>
      <c r="J22" s="11">
        <v>15.7</v>
      </c>
      <c r="K22" s="11">
        <v>16.2</v>
      </c>
    </row>
    <row r="23">
      <c r="A23" s="10" t="s">
        <v>11</v>
      </c>
      <c r="B23" s="11">
        <v>20.08</v>
      </c>
      <c r="C23" s="11">
        <v>19.61</v>
      </c>
      <c r="D23" s="11">
        <v>20.1</v>
      </c>
      <c r="E23" s="11">
        <v>18.6</v>
      </c>
      <c r="F23" s="11">
        <v>15.8</v>
      </c>
      <c r="G23" s="11">
        <v>15.2</v>
      </c>
      <c r="H23" s="11">
        <v>15.5</v>
      </c>
      <c r="I23" s="11">
        <v>16.0</v>
      </c>
      <c r="J23" s="11">
        <v>15.6</v>
      </c>
      <c r="K23" s="11">
        <v>16.0</v>
      </c>
    </row>
    <row r="24">
      <c r="A24" s="10" t="s">
        <v>12</v>
      </c>
      <c r="B24" s="11">
        <v>20.52</v>
      </c>
      <c r="C24" s="11">
        <v>20.22</v>
      </c>
      <c r="D24" s="11">
        <v>20.5</v>
      </c>
      <c r="E24" s="11">
        <v>18.8</v>
      </c>
      <c r="F24" s="11">
        <v>16.0</v>
      </c>
      <c r="G24" s="11">
        <v>15.7</v>
      </c>
      <c r="H24" s="11">
        <v>16.1</v>
      </c>
      <c r="I24" s="11">
        <v>16.1</v>
      </c>
      <c r="J24" s="11">
        <v>15.8</v>
      </c>
      <c r="K24" s="11">
        <v>16.1</v>
      </c>
    </row>
    <row r="25">
      <c r="A25" s="10" t="s">
        <v>13</v>
      </c>
      <c r="B25" s="11">
        <v>19.1</v>
      </c>
      <c r="C25" s="11">
        <v>18.82</v>
      </c>
      <c r="D25" s="11">
        <v>19.0</v>
      </c>
      <c r="E25" s="11">
        <v>17.2</v>
      </c>
      <c r="F25" s="11">
        <v>15.3</v>
      </c>
      <c r="G25" s="11">
        <v>14.6</v>
      </c>
      <c r="H25" s="11">
        <v>15.0</v>
      </c>
      <c r="I25" s="11">
        <v>15.0</v>
      </c>
      <c r="J25" s="11">
        <v>14.9</v>
      </c>
      <c r="K25" s="11">
        <v>15.3</v>
      </c>
    </row>
    <row r="26">
      <c r="A26" s="10" t="s">
        <v>14</v>
      </c>
      <c r="B26" s="11">
        <v>17.72</v>
      </c>
      <c r="C26" s="11">
        <v>17.98</v>
      </c>
      <c r="D26" s="11">
        <v>17.9</v>
      </c>
      <c r="E26" s="11">
        <v>15.6</v>
      </c>
      <c r="F26" s="11">
        <v>14.8</v>
      </c>
      <c r="G26" s="11">
        <v>13.4</v>
      </c>
      <c r="H26" s="11">
        <v>13.8</v>
      </c>
      <c r="I26" s="11">
        <v>13.9</v>
      </c>
      <c r="J26" s="11">
        <v>14.0</v>
      </c>
      <c r="K26" s="11">
        <v>14.0</v>
      </c>
    </row>
    <row r="27">
      <c r="A27" s="10" t="s">
        <v>15</v>
      </c>
      <c r="B27" s="11">
        <v>18.77</v>
      </c>
      <c r="C27" s="11">
        <v>16.66</v>
      </c>
      <c r="D27" s="11">
        <v>17.6</v>
      </c>
      <c r="E27" s="11">
        <v>15.4</v>
      </c>
      <c r="F27" s="11">
        <v>14.0</v>
      </c>
      <c r="G27" s="11">
        <v>13.4</v>
      </c>
      <c r="H27" s="11">
        <v>13.1</v>
      </c>
      <c r="I27" s="11">
        <v>13.5</v>
      </c>
      <c r="J27" s="11">
        <v>13.8</v>
      </c>
      <c r="K27" s="11">
        <v>13.9</v>
      </c>
    </row>
    <row r="28">
      <c r="A28" s="12" t="s">
        <v>16</v>
      </c>
      <c r="B28" s="13">
        <f t="shared" ref="B28:K28" si="1">SUM(B16:B27)/12</f>
        <v>18.7975</v>
      </c>
      <c r="C28" s="13">
        <f t="shared" si="1"/>
        <v>17.96166667</v>
      </c>
      <c r="D28" s="13">
        <f t="shared" si="1"/>
        <v>18.15833333</v>
      </c>
      <c r="E28" s="13">
        <f t="shared" si="1"/>
        <v>16.41666667</v>
      </c>
      <c r="F28" s="13">
        <f t="shared" si="1"/>
        <v>14.50833333</v>
      </c>
      <c r="G28" s="13">
        <f t="shared" si="1"/>
        <v>13.99166667</v>
      </c>
      <c r="H28" s="13">
        <f t="shared" si="1"/>
        <v>14.43333333</v>
      </c>
      <c r="I28" s="13">
        <f t="shared" si="1"/>
        <v>14.70833333</v>
      </c>
      <c r="J28" s="13">
        <f t="shared" si="1"/>
        <v>14.40833333</v>
      </c>
      <c r="K28" s="13">
        <f t="shared" si="1"/>
        <v>15.16666667</v>
      </c>
    </row>
    <row r="31">
      <c r="A31" s="14" t="s">
        <v>22</v>
      </c>
    </row>
    <row r="32">
      <c r="A32" s="5"/>
      <c r="B32" s="10">
        <v>2024.0</v>
      </c>
      <c r="C32" s="10">
        <v>2023.0</v>
      </c>
      <c r="D32" s="10">
        <v>2022.0</v>
      </c>
      <c r="E32" s="10">
        <v>2021.0</v>
      </c>
      <c r="F32" s="10">
        <v>2020.0</v>
      </c>
      <c r="G32" s="10">
        <v>2019.0</v>
      </c>
      <c r="H32" s="10">
        <v>2018.0</v>
      </c>
      <c r="I32" s="10">
        <v>2017.0</v>
      </c>
      <c r="J32" s="10">
        <v>2016.0</v>
      </c>
      <c r="K32" s="10">
        <v>2015.0</v>
      </c>
    </row>
    <row r="33">
      <c r="A33" s="10" t="s">
        <v>4</v>
      </c>
      <c r="B33" s="11">
        <f t="shared" ref="B33:B44" si="2">B16/$B$28</f>
        <v>0.961298045</v>
      </c>
      <c r="C33" s="11">
        <f t="shared" ref="C33:C44" si="3">C16/$C$28</f>
        <v>1.004361139</v>
      </c>
      <c r="D33" s="11">
        <f t="shared" ref="D33:D44" si="4">D16/$D$28</f>
        <v>0.9141808169</v>
      </c>
      <c r="E33" s="11">
        <f t="shared" ref="E33:E44" si="5">E16/$E$28</f>
        <v>0.8649746193</v>
      </c>
      <c r="F33" s="11">
        <f t="shared" ref="F33:F44" si="6">F16/$F$28</f>
        <v>0.9029293509</v>
      </c>
      <c r="G33" s="11">
        <f t="shared" ref="G33:G44" si="7">G16/$G$28</f>
        <v>0.9291244789</v>
      </c>
      <c r="H33" s="11">
        <f t="shared" ref="H33:H44" si="8">H16/$H$28</f>
        <v>0.9976905312</v>
      </c>
      <c r="I33" s="11">
        <f t="shared" ref="I33:I44" si="9">I16/$I$28</f>
        <v>0.9450424929</v>
      </c>
      <c r="J33" s="11">
        <f t="shared" ref="J33:J44" si="10">J16/$J$28</f>
        <v>0.9300173511</v>
      </c>
      <c r="K33" s="11">
        <f t="shared" ref="K33:K44" si="11">K16/$K$28</f>
        <v>0.9626373626</v>
      </c>
    </row>
    <row r="34">
      <c r="A34" s="10" t="s">
        <v>5</v>
      </c>
      <c r="B34" s="11">
        <f t="shared" si="2"/>
        <v>0.9884293124</v>
      </c>
      <c r="C34" s="11">
        <f t="shared" si="3"/>
        <v>0.917509511</v>
      </c>
      <c r="D34" s="11">
        <f t="shared" si="4"/>
        <v>0.9582377237</v>
      </c>
      <c r="E34" s="11">
        <f t="shared" si="5"/>
        <v>0.9258883249</v>
      </c>
      <c r="F34" s="11">
        <f t="shared" si="6"/>
        <v>0.9098219414</v>
      </c>
      <c r="G34" s="11">
        <f t="shared" si="7"/>
        <v>0.9362715902</v>
      </c>
      <c r="H34" s="11">
        <f t="shared" si="8"/>
        <v>0.9422632794</v>
      </c>
      <c r="I34" s="11">
        <f t="shared" si="9"/>
        <v>0.9110481586</v>
      </c>
      <c r="J34" s="11">
        <f t="shared" si="10"/>
        <v>0.9438982071</v>
      </c>
      <c r="K34" s="11">
        <f t="shared" si="11"/>
        <v>1.054945055</v>
      </c>
    </row>
    <row r="35">
      <c r="A35" s="10" t="s">
        <v>6</v>
      </c>
      <c r="B35" s="11">
        <f t="shared" si="2"/>
        <v>0.9288469211</v>
      </c>
      <c r="C35" s="11">
        <f t="shared" si="3"/>
        <v>0.9353252297</v>
      </c>
      <c r="D35" s="11">
        <f t="shared" si="4"/>
        <v>0.8921523635</v>
      </c>
      <c r="E35" s="11">
        <f t="shared" si="5"/>
        <v>0.9137055838</v>
      </c>
      <c r="F35" s="11">
        <f t="shared" si="6"/>
        <v>0.9167145319</v>
      </c>
      <c r="G35" s="11">
        <f t="shared" si="7"/>
        <v>0.9219773675</v>
      </c>
      <c r="H35" s="11">
        <f t="shared" si="8"/>
        <v>0.9284064665</v>
      </c>
      <c r="I35" s="11">
        <f t="shared" si="9"/>
        <v>0.9654390935</v>
      </c>
      <c r="J35" s="11">
        <f t="shared" si="10"/>
        <v>0.9438982071</v>
      </c>
      <c r="K35" s="11">
        <f t="shared" si="11"/>
        <v>0.9956043956</v>
      </c>
    </row>
    <row r="36">
      <c r="A36" s="10" t="s">
        <v>7</v>
      </c>
      <c r="B36" s="11">
        <f t="shared" si="2"/>
        <v>0.9341667775</v>
      </c>
      <c r="C36" s="11">
        <f t="shared" si="3"/>
        <v>0.904147722</v>
      </c>
      <c r="D36" s="11">
        <f t="shared" si="4"/>
        <v>0.8976594768</v>
      </c>
      <c r="E36" s="11">
        <f t="shared" si="5"/>
        <v>0.9685279188</v>
      </c>
      <c r="F36" s="11">
        <f t="shared" si="6"/>
        <v>0.9098219414</v>
      </c>
      <c r="G36" s="11">
        <f t="shared" si="7"/>
        <v>0.9362715902</v>
      </c>
      <c r="H36" s="11">
        <f t="shared" si="8"/>
        <v>0.9284064665</v>
      </c>
      <c r="I36" s="11">
        <f t="shared" si="9"/>
        <v>0.9382436261</v>
      </c>
      <c r="J36" s="11">
        <f t="shared" si="10"/>
        <v>0.957779063</v>
      </c>
      <c r="K36" s="11">
        <f t="shared" si="11"/>
        <v>0.956043956</v>
      </c>
    </row>
    <row r="37">
      <c r="A37" s="10" t="s">
        <v>8</v>
      </c>
      <c r="B37" s="11">
        <f t="shared" si="2"/>
        <v>0.9426785477</v>
      </c>
      <c r="C37" s="11">
        <f t="shared" si="3"/>
        <v>0.9169527698</v>
      </c>
      <c r="D37" s="11">
        <f t="shared" si="4"/>
        <v>0.930702157</v>
      </c>
      <c r="E37" s="11">
        <f t="shared" si="5"/>
        <v>0.9502538071</v>
      </c>
      <c r="F37" s="11">
        <f t="shared" si="6"/>
        <v>0.9580700747</v>
      </c>
      <c r="G37" s="11">
        <f t="shared" si="7"/>
        <v>0.9577129244</v>
      </c>
      <c r="H37" s="11">
        <f t="shared" si="8"/>
        <v>0.9491916859</v>
      </c>
      <c r="I37" s="11">
        <f t="shared" si="9"/>
        <v>0.9926345609</v>
      </c>
      <c r="J37" s="11">
        <f t="shared" si="10"/>
        <v>0.9438982071</v>
      </c>
      <c r="K37" s="11">
        <f t="shared" si="11"/>
        <v>0.956043956</v>
      </c>
    </row>
    <row r="38">
      <c r="A38" s="10" t="s">
        <v>9</v>
      </c>
      <c r="B38" s="11">
        <f t="shared" si="2"/>
        <v>1.03630802</v>
      </c>
      <c r="C38" s="11">
        <f t="shared" si="3"/>
        <v>1.028301011</v>
      </c>
      <c r="D38" s="11">
        <f t="shared" si="4"/>
        <v>1.068379991</v>
      </c>
      <c r="E38" s="11">
        <f t="shared" si="5"/>
        <v>1.041624365</v>
      </c>
      <c r="F38" s="11">
        <f t="shared" si="6"/>
        <v>1.082136703</v>
      </c>
      <c r="G38" s="11">
        <f t="shared" si="7"/>
        <v>1.057772484</v>
      </c>
      <c r="H38" s="11">
        <f t="shared" si="8"/>
        <v>1.046189376</v>
      </c>
      <c r="I38" s="11">
        <f t="shared" si="9"/>
        <v>1.087818697</v>
      </c>
      <c r="J38" s="11">
        <f t="shared" si="10"/>
        <v>1.048004627</v>
      </c>
      <c r="K38" s="11">
        <f t="shared" si="11"/>
        <v>1.041758242</v>
      </c>
    </row>
    <row r="39">
      <c r="A39" s="10" t="s">
        <v>10</v>
      </c>
      <c r="B39" s="11">
        <f t="shared" si="2"/>
        <v>1.09110254</v>
      </c>
      <c r="C39" s="11">
        <f t="shared" si="3"/>
        <v>1.099563886</v>
      </c>
      <c r="D39" s="11">
        <f t="shared" si="4"/>
        <v>1.101422671</v>
      </c>
      <c r="E39" s="11">
        <f t="shared" si="5"/>
        <v>1.120812183</v>
      </c>
      <c r="F39" s="11">
        <f t="shared" si="6"/>
        <v>1.089029294</v>
      </c>
      <c r="G39" s="11">
        <f t="shared" si="7"/>
        <v>1.093508041</v>
      </c>
      <c r="H39" s="11">
        <f t="shared" si="8"/>
        <v>1.115473441</v>
      </c>
      <c r="I39" s="11">
        <f t="shared" si="9"/>
        <v>1.094617564</v>
      </c>
      <c r="J39" s="11">
        <f t="shared" si="10"/>
        <v>1.089647195</v>
      </c>
      <c r="K39" s="11">
        <f t="shared" si="11"/>
        <v>1.068131868</v>
      </c>
    </row>
    <row r="40">
      <c r="A40" s="10" t="s">
        <v>11</v>
      </c>
      <c r="B40" s="11">
        <f t="shared" si="2"/>
        <v>1.068227158</v>
      </c>
      <c r="C40" s="11">
        <f t="shared" si="3"/>
        <v>1.091769509</v>
      </c>
      <c r="D40" s="11">
        <f t="shared" si="4"/>
        <v>1.106929784</v>
      </c>
      <c r="E40" s="11">
        <f t="shared" si="5"/>
        <v>1.132994924</v>
      </c>
      <c r="F40" s="11">
        <f t="shared" si="6"/>
        <v>1.089029294</v>
      </c>
      <c r="G40" s="11">
        <f t="shared" si="7"/>
        <v>1.086360929</v>
      </c>
      <c r="H40" s="11">
        <f t="shared" si="8"/>
        <v>1.073903002</v>
      </c>
      <c r="I40" s="11">
        <f t="shared" si="9"/>
        <v>1.087818697</v>
      </c>
      <c r="J40" s="11">
        <f t="shared" si="10"/>
        <v>1.082706767</v>
      </c>
      <c r="K40" s="11">
        <f t="shared" si="11"/>
        <v>1.054945055</v>
      </c>
    </row>
    <row r="41">
      <c r="A41" s="10" t="s">
        <v>12</v>
      </c>
      <c r="B41" s="11">
        <f t="shared" si="2"/>
        <v>1.091634526</v>
      </c>
      <c r="C41" s="11">
        <f t="shared" si="3"/>
        <v>1.125730723</v>
      </c>
      <c r="D41" s="11">
        <f t="shared" si="4"/>
        <v>1.128958238</v>
      </c>
      <c r="E41" s="11">
        <f t="shared" si="5"/>
        <v>1.145177665</v>
      </c>
      <c r="F41" s="11">
        <f t="shared" si="6"/>
        <v>1.102814474</v>
      </c>
      <c r="G41" s="11">
        <f t="shared" si="7"/>
        <v>1.122096486</v>
      </c>
      <c r="H41" s="11">
        <f t="shared" si="8"/>
        <v>1.115473441</v>
      </c>
      <c r="I41" s="11">
        <f t="shared" si="9"/>
        <v>1.094617564</v>
      </c>
      <c r="J41" s="11">
        <f t="shared" si="10"/>
        <v>1.096587623</v>
      </c>
      <c r="K41" s="11">
        <f t="shared" si="11"/>
        <v>1.061538462</v>
      </c>
    </row>
    <row r="42">
      <c r="A42" s="10" t="s">
        <v>13</v>
      </c>
      <c r="B42" s="11">
        <f t="shared" si="2"/>
        <v>1.016092566</v>
      </c>
      <c r="C42" s="11">
        <f t="shared" si="3"/>
        <v>1.047786954</v>
      </c>
      <c r="D42" s="11">
        <f t="shared" si="4"/>
        <v>1.046351537</v>
      </c>
      <c r="E42" s="11">
        <f t="shared" si="5"/>
        <v>1.047715736</v>
      </c>
      <c r="F42" s="11">
        <f t="shared" si="6"/>
        <v>1.054566341</v>
      </c>
      <c r="G42" s="11">
        <f t="shared" si="7"/>
        <v>1.043478261</v>
      </c>
      <c r="H42" s="11">
        <f t="shared" si="8"/>
        <v>1.03926097</v>
      </c>
      <c r="I42" s="11">
        <f t="shared" si="9"/>
        <v>1.019830028</v>
      </c>
      <c r="J42" s="11">
        <f t="shared" si="10"/>
        <v>1.034123771</v>
      </c>
      <c r="K42" s="11">
        <f t="shared" si="11"/>
        <v>1.008791209</v>
      </c>
    </row>
    <row r="43">
      <c r="A43" s="10" t="s">
        <v>14</v>
      </c>
      <c r="B43" s="11">
        <f t="shared" si="2"/>
        <v>0.9426785477</v>
      </c>
      <c r="C43" s="11">
        <f t="shared" si="3"/>
        <v>1.001020692</v>
      </c>
      <c r="D43" s="11">
        <f t="shared" si="4"/>
        <v>0.9857732905</v>
      </c>
      <c r="E43" s="11">
        <f t="shared" si="5"/>
        <v>0.9502538071</v>
      </c>
      <c r="F43" s="11">
        <f t="shared" si="6"/>
        <v>1.020103389</v>
      </c>
      <c r="G43" s="11">
        <f t="shared" si="7"/>
        <v>0.9577129244</v>
      </c>
      <c r="H43" s="11">
        <f t="shared" si="8"/>
        <v>0.9561200924</v>
      </c>
      <c r="I43" s="11">
        <f t="shared" si="9"/>
        <v>0.9450424929</v>
      </c>
      <c r="J43" s="11">
        <f t="shared" si="10"/>
        <v>0.971659919</v>
      </c>
      <c r="K43" s="11">
        <f t="shared" si="11"/>
        <v>0.9230769231</v>
      </c>
    </row>
    <row r="44">
      <c r="A44" s="10" t="s">
        <v>15</v>
      </c>
      <c r="B44" s="11">
        <f t="shared" si="2"/>
        <v>0.9985370395</v>
      </c>
      <c r="C44" s="11">
        <f t="shared" si="3"/>
        <v>0.9275308527</v>
      </c>
      <c r="D44" s="11">
        <f t="shared" si="4"/>
        <v>0.9692519504</v>
      </c>
      <c r="E44" s="11">
        <f t="shared" si="5"/>
        <v>0.938071066</v>
      </c>
      <c r="F44" s="11">
        <f t="shared" si="6"/>
        <v>0.9649626651</v>
      </c>
      <c r="G44" s="11">
        <f t="shared" si="7"/>
        <v>0.9577129244</v>
      </c>
      <c r="H44" s="11">
        <f t="shared" si="8"/>
        <v>0.9076212471</v>
      </c>
      <c r="I44" s="11">
        <f t="shared" si="9"/>
        <v>0.9178470255</v>
      </c>
      <c r="J44" s="11">
        <f t="shared" si="10"/>
        <v>0.957779063</v>
      </c>
      <c r="K44" s="11">
        <f t="shared" si="11"/>
        <v>0.9164835165</v>
      </c>
    </row>
    <row r="47">
      <c r="A47" s="14" t="s">
        <v>23</v>
      </c>
    </row>
    <row r="48">
      <c r="A48" s="5"/>
      <c r="B48" s="10">
        <v>2024.0</v>
      </c>
      <c r="C48" s="10">
        <v>2023.0</v>
      </c>
      <c r="D48" s="10">
        <v>2022.0</v>
      </c>
      <c r="E48" s="10">
        <v>2021.0</v>
      </c>
      <c r="F48" s="10">
        <v>2020.0</v>
      </c>
      <c r="G48" s="10">
        <v>2019.0</v>
      </c>
      <c r="H48" s="10">
        <v>2018.0</v>
      </c>
      <c r="I48" s="10">
        <v>2017.0</v>
      </c>
      <c r="J48" s="10">
        <v>2016.0</v>
      </c>
      <c r="K48" s="10">
        <v>2015.0</v>
      </c>
    </row>
    <row r="49">
      <c r="A49" s="10" t="s">
        <v>4</v>
      </c>
      <c r="B49" s="11">
        <f t="shared" ref="B49:B60" si="12">B33*$B$11</f>
        <v>20.62945604</v>
      </c>
      <c r="C49" s="11">
        <f t="shared" ref="C49:C60" si="13">C33*$B$10</f>
        <v>19.9164814</v>
      </c>
      <c r="D49" s="11">
        <f t="shared" ref="D49:D60" si="14">D33*$B$9</f>
        <v>20.55078476</v>
      </c>
      <c r="E49" s="11">
        <f t="shared" ref="E49:E60" si="15">E33*$B$8</f>
        <v>17.43788832</v>
      </c>
      <c r="F49" s="11">
        <f t="shared" ref="F49:F60" si="16">F33*$B$7</f>
        <v>16.98410109</v>
      </c>
      <c r="G49" s="11">
        <f t="shared" ref="G49:G60" si="17">G33*$B$6</f>
        <v>16.97510423</v>
      </c>
      <c r="H49" s="11">
        <f t="shared" ref="H49:H60" si="18">H33*$B$5</f>
        <v>18.74660508</v>
      </c>
      <c r="I49" s="11">
        <f t="shared" ref="I49:I60" si="19">I33*$B$4</f>
        <v>17.71954674</v>
      </c>
      <c r="J49" s="11">
        <f t="shared" ref="J49:J60" si="20">J33*$B$3</f>
        <v>15.54989011</v>
      </c>
      <c r="K49" s="11">
        <f t="shared" ref="K49:K60" si="21">K33*$B$2</f>
        <v>16.80764835</v>
      </c>
    </row>
    <row r="50">
      <c r="A50" s="10" t="s">
        <v>5</v>
      </c>
      <c r="B50" s="11">
        <f t="shared" si="12"/>
        <v>21.21169304</v>
      </c>
      <c r="C50" s="11">
        <f t="shared" si="13"/>
        <v>18.1942136</v>
      </c>
      <c r="D50" s="11">
        <f t="shared" si="14"/>
        <v>21.54118403</v>
      </c>
      <c r="E50" s="11">
        <f t="shared" si="15"/>
        <v>18.66590863</v>
      </c>
      <c r="F50" s="11">
        <f t="shared" si="16"/>
        <v>17.11375072</v>
      </c>
      <c r="G50" s="11">
        <f t="shared" si="17"/>
        <v>17.10568195</v>
      </c>
      <c r="H50" s="11">
        <f t="shared" si="18"/>
        <v>17.70512702</v>
      </c>
      <c r="I50" s="11">
        <f t="shared" si="19"/>
        <v>17.08215297</v>
      </c>
      <c r="J50" s="11">
        <f t="shared" si="20"/>
        <v>15.78197802</v>
      </c>
      <c r="K50" s="11">
        <f t="shared" si="21"/>
        <v>18.41934066</v>
      </c>
    </row>
    <row r="51">
      <c r="A51" s="10" t="s">
        <v>6</v>
      </c>
      <c r="B51" s="11">
        <f t="shared" si="12"/>
        <v>19.93305493</v>
      </c>
      <c r="C51" s="11">
        <f t="shared" si="13"/>
        <v>18.5474993</v>
      </c>
      <c r="D51" s="11">
        <f t="shared" si="14"/>
        <v>20.05558513</v>
      </c>
      <c r="E51" s="11">
        <f t="shared" si="15"/>
        <v>18.42030457</v>
      </c>
      <c r="F51" s="11">
        <f t="shared" si="16"/>
        <v>17.24340034</v>
      </c>
      <c r="G51" s="11">
        <f t="shared" si="17"/>
        <v>16.8445265</v>
      </c>
      <c r="H51" s="11">
        <f t="shared" si="18"/>
        <v>17.44475751</v>
      </c>
      <c r="I51" s="11">
        <f t="shared" si="19"/>
        <v>18.101983</v>
      </c>
      <c r="J51" s="11">
        <f t="shared" si="20"/>
        <v>15.78197802</v>
      </c>
      <c r="K51" s="11">
        <f t="shared" si="21"/>
        <v>17.38325275</v>
      </c>
    </row>
    <row r="52">
      <c r="A52" s="10" t="s">
        <v>7</v>
      </c>
      <c r="B52" s="11">
        <f t="shared" si="12"/>
        <v>20.04721905</v>
      </c>
      <c r="C52" s="11">
        <f t="shared" si="13"/>
        <v>17.92924933</v>
      </c>
      <c r="D52" s="11">
        <f t="shared" si="14"/>
        <v>20.17938504</v>
      </c>
      <c r="E52" s="11">
        <f t="shared" si="15"/>
        <v>19.52552284</v>
      </c>
      <c r="F52" s="11">
        <f t="shared" si="16"/>
        <v>17.11375072</v>
      </c>
      <c r="G52" s="11">
        <f t="shared" si="17"/>
        <v>17.10568195</v>
      </c>
      <c r="H52" s="11">
        <f t="shared" si="18"/>
        <v>17.44475751</v>
      </c>
      <c r="I52" s="11">
        <f t="shared" si="19"/>
        <v>17.59206799</v>
      </c>
      <c r="J52" s="11">
        <f t="shared" si="20"/>
        <v>16.01406593</v>
      </c>
      <c r="K52" s="11">
        <f t="shared" si="21"/>
        <v>16.69252747</v>
      </c>
    </row>
    <row r="53">
      <c r="A53" s="10" t="s">
        <v>8</v>
      </c>
      <c r="B53" s="11">
        <f t="shared" si="12"/>
        <v>20.22988163</v>
      </c>
      <c r="C53" s="11">
        <f t="shared" si="13"/>
        <v>18.18317342</v>
      </c>
      <c r="D53" s="11">
        <f t="shared" si="14"/>
        <v>20.92218449</v>
      </c>
      <c r="E53" s="11">
        <f t="shared" si="15"/>
        <v>19.15711675</v>
      </c>
      <c r="F53" s="11">
        <f t="shared" si="16"/>
        <v>18.0212981</v>
      </c>
      <c r="G53" s="11">
        <f t="shared" si="17"/>
        <v>17.49741513</v>
      </c>
      <c r="H53" s="11">
        <f t="shared" si="18"/>
        <v>17.83531178</v>
      </c>
      <c r="I53" s="11">
        <f t="shared" si="19"/>
        <v>18.61189802</v>
      </c>
      <c r="J53" s="11">
        <f t="shared" si="20"/>
        <v>15.78197802</v>
      </c>
      <c r="K53" s="11">
        <f t="shared" si="21"/>
        <v>16.69252747</v>
      </c>
    </row>
    <row r="54">
      <c r="A54" s="10" t="s">
        <v>9</v>
      </c>
      <c r="B54" s="11">
        <f t="shared" si="12"/>
        <v>22.2391701</v>
      </c>
      <c r="C54" s="11">
        <f t="shared" si="13"/>
        <v>20.39120906</v>
      </c>
      <c r="D54" s="11">
        <f t="shared" si="14"/>
        <v>24.01718219</v>
      </c>
      <c r="E54" s="11">
        <f t="shared" si="15"/>
        <v>20.99914721</v>
      </c>
      <c r="F54" s="11">
        <f t="shared" si="16"/>
        <v>20.35499138</v>
      </c>
      <c r="G54" s="11">
        <f t="shared" si="17"/>
        <v>19.32550328</v>
      </c>
      <c r="H54" s="11">
        <f t="shared" si="18"/>
        <v>19.65789838</v>
      </c>
      <c r="I54" s="11">
        <f t="shared" si="19"/>
        <v>20.39660057</v>
      </c>
      <c r="J54" s="11">
        <f t="shared" si="20"/>
        <v>17.52263736</v>
      </c>
      <c r="K54" s="11">
        <f t="shared" si="21"/>
        <v>18.1890989</v>
      </c>
    </row>
    <row r="55">
      <c r="A55" s="10" t="s">
        <v>10</v>
      </c>
      <c r="B55" s="11">
        <f t="shared" si="12"/>
        <v>23.41506051</v>
      </c>
      <c r="C55" s="11">
        <f t="shared" si="13"/>
        <v>21.80435186</v>
      </c>
      <c r="D55" s="11">
        <f t="shared" si="14"/>
        <v>24.75998164</v>
      </c>
      <c r="E55" s="11">
        <f t="shared" si="15"/>
        <v>22.5955736</v>
      </c>
      <c r="F55" s="11">
        <f t="shared" si="16"/>
        <v>20.48464101</v>
      </c>
      <c r="G55" s="11">
        <f t="shared" si="17"/>
        <v>19.9783919</v>
      </c>
      <c r="H55" s="11">
        <f t="shared" si="18"/>
        <v>20.95974596</v>
      </c>
      <c r="I55" s="11">
        <f t="shared" si="19"/>
        <v>20.52407932</v>
      </c>
      <c r="J55" s="11">
        <f t="shared" si="20"/>
        <v>18.2189011</v>
      </c>
      <c r="K55" s="11">
        <f t="shared" si="21"/>
        <v>18.64958242</v>
      </c>
    </row>
    <row r="56">
      <c r="A56" s="10" t="s">
        <v>11</v>
      </c>
      <c r="B56" s="11">
        <f t="shared" si="12"/>
        <v>22.92415481</v>
      </c>
      <c r="C56" s="11">
        <f t="shared" si="13"/>
        <v>21.64978937</v>
      </c>
      <c r="D56" s="11">
        <f t="shared" si="14"/>
        <v>24.88378155</v>
      </c>
      <c r="E56" s="11">
        <f t="shared" si="15"/>
        <v>22.84117766</v>
      </c>
      <c r="F56" s="11">
        <f t="shared" si="16"/>
        <v>20.48464101</v>
      </c>
      <c r="G56" s="11">
        <f t="shared" si="17"/>
        <v>19.84781418</v>
      </c>
      <c r="H56" s="11">
        <f t="shared" si="18"/>
        <v>20.17863741</v>
      </c>
      <c r="I56" s="11">
        <f t="shared" si="19"/>
        <v>20.39660057</v>
      </c>
      <c r="J56" s="11">
        <f t="shared" si="20"/>
        <v>18.10285714</v>
      </c>
      <c r="K56" s="11">
        <f t="shared" si="21"/>
        <v>18.41934066</v>
      </c>
    </row>
    <row r="57">
      <c r="A57" s="10" t="s">
        <v>12</v>
      </c>
      <c r="B57" s="11">
        <f t="shared" si="12"/>
        <v>23.42647693</v>
      </c>
      <c r="C57" s="11">
        <f t="shared" si="13"/>
        <v>22.32324023</v>
      </c>
      <c r="D57" s="11">
        <f t="shared" si="14"/>
        <v>25.37898118</v>
      </c>
      <c r="E57" s="11">
        <f t="shared" si="15"/>
        <v>23.08678173</v>
      </c>
      <c r="F57" s="11">
        <f t="shared" si="16"/>
        <v>20.74394026</v>
      </c>
      <c r="G57" s="11">
        <f t="shared" si="17"/>
        <v>20.5007028</v>
      </c>
      <c r="H57" s="11">
        <f t="shared" si="18"/>
        <v>20.95974596</v>
      </c>
      <c r="I57" s="11">
        <f t="shared" si="19"/>
        <v>20.52407932</v>
      </c>
      <c r="J57" s="11">
        <f t="shared" si="20"/>
        <v>18.33494505</v>
      </c>
      <c r="K57" s="11">
        <f t="shared" si="21"/>
        <v>18.53446154</v>
      </c>
    </row>
    <row r="58">
      <c r="A58" s="10" t="s">
        <v>13</v>
      </c>
      <c r="B58" s="11">
        <f t="shared" si="12"/>
        <v>21.80534646</v>
      </c>
      <c r="C58" s="11">
        <f t="shared" si="13"/>
        <v>20.77761529</v>
      </c>
      <c r="D58" s="11">
        <f t="shared" si="14"/>
        <v>23.52198256</v>
      </c>
      <c r="E58" s="11">
        <f t="shared" si="15"/>
        <v>21.12194924</v>
      </c>
      <c r="F58" s="11">
        <f t="shared" si="16"/>
        <v>19.83639288</v>
      </c>
      <c r="G58" s="11">
        <f t="shared" si="17"/>
        <v>19.06434783</v>
      </c>
      <c r="H58" s="11">
        <f t="shared" si="18"/>
        <v>19.52771363</v>
      </c>
      <c r="I58" s="11">
        <f t="shared" si="19"/>
        <v>19.12181303</v>
      </c>
      <c r="J58" s="11">
        <f t="shared" si="20"/>
        <v>17.29054945</v>
      </c>
      <c r="K58" s="11">
        <f t="shared" si="21"/>
        <v>17.61349451</v>
      </c>
    </row>
    <row r="59">
      <c r="A59" s="10" t="s">
        <v>14</v>
      </c>
      <c r="B59" s="11">
        <f t="shared" si="12"/>
        <v>20.22988163</v>
      </c>
      <c r="C59" s="11">
        <f t="shared" si="13"/>
        <v>19.85024033</v>
      </c>
      <c r="D59" s="11">
        <f t="shared" si="14"/>
        <v>22.16018357</v>
      </c>
      <c r="E59" s="11">
        <f t="shared" si="15"/>
        <v>19.15711675</v>
      </c>
      <c r="F59" s="11">
        <f t="shared" si="16"/>
        <v>19.18814474</v>
      </c>
      <c r="G59" s="11">
        <f t="shared" si="17"/>
        <v>17.49741513</v>
      </c>
      <c r="H59" s="11">
        <f t="shared" si="18"/>
        <v>17.96549654</v>
      </c>
      <c r="I59" s="11">
        <f t="shared" si="19"/>
        <v>17.71954674</v>
      </c>
      <c r="J59" s="11">
        <f t="shared" si="20"/>
        <v>16.24615385</v>
      </c>
      <c r="K59" s="11">
        <f t="shared" si="21"/>
        <v>16.11692308</v>
      </c>
    </row>
    <row r="60">
      <c r="A60" s="10" t="s">
        <v>15</v>
      </c>
      <c r="B60" s="11">
        <f t="shared" si="12"/>
        <v>21.42860487</v>
      </c>
      <c r="C60" s="11">
        <f t="shared" si="13"/>
        <v>18.39293681</v>
      </c>
      <c r="D60" s="11">
        <f t="shared" si="14"/>
        <v>21.78878385</v>
      </c>
      <c r="E60" s="11">
        <f t="shared" si="15"/>
        <v>18.91151269</v>
      </c>
      <c r="F60" s="11">
        <f t="shared" si="16"/>
        <v>18.15094773</v>
      </c>
      <c r="G60" s="11">
        <f t="shared" si="17"/>
        <v>17.49741513</v>
      </c>
      <c r="H60" s="11">
        <f t="shared" si="18"/>
        <v>17.05420323</v>
      </c>
      <c r="I60" s="11">
        <f t="shared" si="19"/>
        <v>17.20963173</v>
      </c>
      <c r="J60" s="11">
        <f t="shared" si="20"/>
        <v>16.01406593</v>
      </c>
      <c r="K60" s="11">
        <f t="shared" si="21"/>
        <v>16.0018022</v>
      </c>
    </row>
    <row r="63">
      <c r="A63" s="14" t="s">
        <v>24</v>
      </c>
    </row>
    <row r="64">
      <c r="A64" s="5"/>
      <c r="B64" s="10">
        <v>2024.0</v>
      </c>
      <c r="C64" s="10">
        <v>2023.0</v>
      </c>
      <c r="D64" s="10">
        <v>2022.0</v>
      </c>
      <c r="E64" s="10">
        <v>2021.0</v>
      </c>
      <c r="F64" s="10">
        <v>2020.0</v>
      </c>
      <c r="G64" s="10">
        <v>2019.0</v>
      </c>
      <c r="H64" s="10">
        <v>2018.0</v>
      </c>
      <c r="I64" s="10">
        <v>2017.0</v>
      </c>
      <c r="J64" s="10">
        <v>2016.0</v>
      </c>
      <c r="K64" s="10">
        <v>2015.0</v>
      </c>
    </row>
    <row r="65">
      <c r="A65" s="10" t="s">
        <v>4</v>
      </c>
      <c r="B65" s="11">
        <f t="shared" ref="B65:B76" si="22">B33*$C$11</f>
        <v>16.74581194</v>
      </c>
      <c r="C65" s="11">
        <f t="shared" ref="C65:C76" si="23">C33*$C$10</f>
        <v>18.16889301</v>
      </c>
      <c r="D65" s="11">
        <f t="shared" ref="D65:D76" si="24">D33*$C$9</f>
        <v>17.93622763</v>
      </c>
      <c r="E65" s="11">
        <f t="shared" ref="E65:E76" si="25">E33*$C$8</f>
        <v>13.32925888</v>
      </c>
      <c r="F65" s="11">
        <f t="shared" ref="F65:F76" si="26">F33*$C$7</f>
        <v>11.94575531</v>
      </c>
      <c r="G65" s="11">
        <f t="shared" ref="G65:G76" si="27">G33*$C$6</f>
        <v>12.08790947</v>
      </c>
      <c r="H65" s="11">
        <f t="shared" ref="H65:H76" si="28">H33*$C$5</f>
        <v>13.97764434</v>
      </c>
      <c r="I65" s="11">
        <f t="shared" ref="I65:I76" si="29">I33*$C$4</f>
        <v>12.18159773</v>
      </c>
      <c r="J65" s="11">
        <f t="shared" ref="J65:J76" si="30">J33*$C$3</f>
        <v>11.78331984</v>
      </c>
      <c r="K65" s="11">
        <f t="shared" ref="K65:K76" si="31">K33*$C$2</f>
        <v>13.41916484</v>
      </c>
    </row>
    <row r="66">
      <c r="A66" s="10" t="s">
        <v>5</v>
      </c>
      <c r="B66" s="11">
        <f t="shared" si="22"/>
        <v>17.21843862</v>
      </c>
      <c r="C66" s="11">
        <f t="shared" si="23"/>
        <v>16.59774705</v>
      </c>
      <c r="D66" s="11">
        <f t="shared" si="24"/>
        <v>18.80062414</v>
      </c>
      <c r="E66" s="11">
        <f t="shared" si="25"/>
        <v>14.26793909</v>
      </c>
      <c r="F66" s="11">
        <f t="shared" si="26"/>
        <v>12.03694428</v>
      </c>
      <c r="G66" s="11">
        <f t="shared" si="27"/>
        <v>12.18089339</v>
      </c>
      <c r="H66" s="11">
        <f t="shared" si="28"/>
        <v>13.20110855</v>
      </c>
      <c r="I66" s="11">
        <f t="shared" si="29"/>
        <v>11.74341076</v>
      </c>
      <c r="J66" s="11">
        <f t="shared" si="30"/>
        <v>11.95919028</v>
      </c>
      <c r="K66" s="11">
        <f t="shared" si="31"/>
        <v>14.70593407</v>
      </c>
    </row>
    <row r="67">
      <c r="A67" s="10" t="s">
        <v>6</v>
      </c>
      <c r="B67" s="11">
        <f t="shared" si="22"/>
        <v>16.18051337</v>
      </c>
      <c r="C67" s="11">
        <f t="shared" si="23"/>
        <v>16.9200334</v>
      </c>
      <c r="D67" s="11">
        <f t="shared" si="24"/>
        <v>17.50402937</v>
      </c>
      <c r="E67" s="11">
        <f t="shared" si="25"/>
        <v>14.08020305</v>
      </c>
      <c r="F67" s="11">
        <f t="shared" si="26"/>
        <v>12.12813326</v>
      </c>
      <c r="G67" s="11">
        <f t="shared" si="27"/>
        <v>11.99492555</v>
      </c>
      <c r="H67" s="11">
        <f t="shared" si="28"/>
        <v>13.0069746</v>
      </c>
      <c r="I67" s="11">
        <f t="shared" si="29"/>
        <v>12.44450992</v>
      </c>
      <c r="J67" s="11">
        <f t="shared" si="30"/>
        <v>11.95919028</v>
      </c>
      <c r="K67" s="11">
        <f t="shared" si="31"/>
        <v>13.87872527</v>
      </c>
    </row>
    <row r="68">
      <c r="A68" s="10" t="s">
        <v>7</v>
      </c>
      <c r="B68" s="11">
        <f t="shared" si="22"/>
        <v>16.27318526</v>
      </c>
      <c r="C68" s="11">
        <f t="shared" si="23"/>
        <v>16.35603229</v>
      </c>
      <c r="D68" s="11">
        <f t="shared" si="24"/>
        <v>17.61207894</v>
      </c>
      <c r="E68" s="11">
        <f t="shared" si="25"/>
        <v>14.92501523</v>
      </c>
      <c r="F68" s="11">
        <f t="shared" si="26"/>
        <v>12.03694428</v>
      </c>
      <c r="G68" s="11">
        <f t="shared" si="27"/>
        <v>12.18089339</v>
      </c>
      <c r="H68" s="11">
        <f t="shared" si="28"/>
        <v>13.0069746</v>
      </c>
      <c r="I68" s="11">
        <f t="shared" si="29"/>
        <v>12.09396034</v>
      </c>
      <c r="J68" s="11">
        <f t="shared" si="30"/>
        <v>12.13506073</v>
      </c>
      <c r="K68" s="11">
        <f t="shared" si="31"/>
        <v>13.32725275</v>
      </c>
    </row>
    <row r="69">
      <c r="A69" s="10" t="s">
        <v>8</v>
      </c>
      <c r="B69" s="11">
        <f t="shared" si="22"/>
        <v>16.4214603</v>
      </c>
      <c r="C69" s="11">
        <f t="shared" si="23"/>
        <v>16.58767561</v>
      </c>
      <c r="D69" s="11">
        <f t="shared" si="24"/>
        <v>18.26037632</v>
      </c>
      <c r="E69" s="11">
        <f t="shared" si="25"/>
        <v>14.64341117</v>
      </c>
      <c r="F69" s="11">
        <f t="shared" si="26"/>
        <v>12.67526709</v>
      </c>
      <c r="G69" s="11">
        <f t="shared" si="27"/>
        <v>12.45984515</v>
      </c>
      <c r="H69" s="11">
        <f t="shared" si="28"/>
        <v>13.29817552</v>
      </c>
      <c r="I69" s="11">
        <f t="shared" si="29"/>
        <v>12.79505949</v>
      </c>
      <c r="J69" s="11">
        <f t="shared" si="30"/>
        <v>11.95919028</v>
      </c>
      <c r="K69" s="11">
        <f t="shared" si="31"/>
        <v>13.32725275</v>
      </c>
    </row>
    <row r="70">
      <c r="A70" s="10" t="s">
        <v>9</v>
      </c>
      <c r="B70" s="11">
        <f t="shared" si="22"/>
        <v>18.0524857</v>
      </c>
      <c r="C70" s="11">
        <f t="shared" si="23"/>
        <v>18.6019653</v>
      </c>
      <c r="D70" s="11">
        <f t="shared" si="24"/>
        <v>20.96161542</v>
      </c>
      <c r="E70" s="11">
        <f t="shared" si="25"/>
        <v>16.05143147</v>
      </c>
      <c r="F70" s="11">
        <f t="shared" si="26"/>
        <v>14.31666858</v>
      </c>
      <c r="G70" s="11">
        <f t="shared" si="27"/>
        <v>13.76162001</v>
      </c>
      <c r="H70" s="11">
        <f t="shared" si="28"/>
        <v>14.65711316</v>
      </c>
      <c r="I70" s="11">
        <f t="shared" si="29"/>
        <v>14.021983</v>
      </c>
      <c r="J70" s="11">
        <f t="shared" si="30"/>
        <v>13.27821862</v>
      </c>
      <c r="K70" s="11">
        <f t="shared" si="31"/>
        <v>14.52210989</v>
      </c>
    </row>
    <row r="71">
      <c r="A71" s="10" t="s">
        <v>10</v>
      </c>
      <c r="B71" s="11">
        <f t="shared" si="22"/>
        <v>19.00700625</v>
      </c>
      <c r="C71" s="11">
        <f t="shared" si="23"/>
        <v>19.8911107</v>
      </c>
      <c r="D71" s="11">
        <f t="shared" si="24"/>
        <v>21.6099128</v>
      </c>
      <c r="E71" s="11">
        <f t="shared" si="25"/>
        <v>17.27171574</v>
      </c>
      <c r="F71" s="11">
        <f t="shared" si="26"/>
        <v>14.40785755</v>
      </c>
      <c r="G71" s="11">
        <f t="shared" si="27"/>
        <v>14.22653961</v>
      </c>
      <c r="H71" s="11">
        <f t="shared" si="28"/>
        <v>15.62778291</v>
      </c>
      <c r="I71" s="11">
        <f t="shared" si="29"/>
        <v>14.1096204</v>
      </c>
      <c r="J71" s="11">
        <f t="shared" si="30"/>
        <v>13.80582996</v>
      </c>
      <c r="K71" s="11">
        <f t="shared" si="31"/>
        <v>14.88975824</v>
      </c>
    </row>
    <row r="72">
      <c r="A72" s="10" t="s">
        <v>11</v>
      </c>
      <c r="B72" s="11">
        <f t="shared" si="22"/>
        <v>18.60851709</v>
      </c>
      <c r="C72" s="11">
        <f t="shared" si="23"/>
        <v>19.75011042</v>
      </c>
      <c r="D72" s="11">
        <f t="shared" si="24"/>
        <v>21.71796237</v>
      </c>
      <c r="E72" s="11">
        <f t="shared" si="25"/>
        <v>17.45945178</v>
      </c>
      <c r="F72" s="11">
        <f t="shared" si="26"/>
        <v>14.40785755</v>
      </c>
      <c r="G72" s="11">
        <f t="shared" si="27"/>
        <v>14.13355569</v>
      </c>
      <c r="H72" s="11">
        <f t="shared" si="28"/>
        <v>15.04538106</v>
      </c>
      <c r="I72" s="11">
        <f t="shared" si="29"/>
        <v>14.021983</v>
      </c>
      <c r="J72" s="11">
        <f t="shared" si="30"/>
        <v>13.71789474</v>
      </c>
      <c r="K72" s="11">
        <f t="shared" si="31"/>
        <v>14.70593407</v>
      </c>
    </row>
    <row r="73">
      <c r="A73" s="10" t="s">
        <v>12</v>
      </c>
      <c r="B73" s="11">
        <f t="shared" si="22"/>
        <v>19.01627344</v>
      </c>
      <c r="C73" s="11">
        <f t="shared" si="23"/>
        <v>20.36446878</v>
      </c>
      <c r="D73" s="11">
        <f t="shared" si="24"/>
        <v>22.15016062</v>
      </c>
      <c r="E73" s="11">
        <f t="shared" si="25"/>
        <v>17.64718782</v>
      </c>
      <c r="F73" s="11">
        <f t="shared" si="26"/>
        <v>14.5902355</v>
      </c>
      <c r="G73" s="11">
        <f t="shared" si="27"/>
        <v>14.59847528</v>
      </c>
      <c r="H73" s="11">
        <f t="shared" si="28"/>
        <v>15.62778291</v>
      </c>
      <c r="I73" s="11">
        <f t="shared" si="29"/>
        <v>14.1096204</v>
      </c>
      <c r="J73" s="11">
        <f t="shared" si="30"/>
        <v>13.89376518</v>
      </c>
      <c r="K73" s="11">
        <f t="shared" si="31"/>
        <v>14.79784615</v>
      </c>
    </row>
    <row r="74">
      <c r="A74" s="10" t="s">
        <v>13</v>
      </c>
      <c r="B74" s="11">
        <f t="shared" si="22"/>
        <v>17.70033249</v>
      </c>
      <c r="C74" s="11">
        <f t="shared" si="23"/>
        <v>18.95446599</v>
      </c>
      <c r="D74" s="11">
        <f t="shared" si="24"/>
        <v>20.52941716</v>
      </c>
      <c r="E74" s="11">
        <f t="shared" si="25"/>
        <v>16.14529949</v>
      </c>
      <c r="F74" s="11">
        <f t="shared" si="26"/>
        <v>13.95191269</v>
      </c>
      <c r="G74" s="11">
        <f t="shared" si="27"/>
        <v>13.57565217</v>
      </c>
      <c r="H74" s="11">
        <f t="shared" si="28"/>
        <v>14.56004619</v>
      </c>
      <c r="I74" s="11">
        <f t="shared" si="29"/>
        <v>13.14560907</v>
      </c>
      <c r="J74" s="11">
        <f t="shared" si="30"/>
        <v>13.10234818</v>
      </c>
      <c r="K74" s="11">
        <f t="shared" si="31"/>
        <v>14.06254945</v>
      </c>
    </row>
    <row r="75">
      <c r="A75" s="10" t="s">
        <v>14</v>
      </c>
      <c r="B75" s="11">
        <f t="shared" si="22"/>
        <v>16.4214603</v>
      </c>
      <c r="C75" s="11">
        <f t="shared" si="23"/>
        <v>18.10846432</v>
      </c>
      <c r="D75" s="11">
        <f t="shared" si="24"/>
        <v>19.34087196</v>
      </c>
      <c r="E75" s="11">
        <f t="shared" si="25"/>
        <v>14.64341117</v>
      </c>
      <c r="F75" s="11">
        <f t="shared" si="26"/>
        <v>13.49596783</v>
      </c>
      <c r="G75" s="11">
        <f t="shared" si="27"/>
        <v>12.45984515</v>
      </c>
      <c r="H75" s="11">
        <f t="shared" si="28"/>
        <v>13.39524249</v>
      </c>
      <c r="I75" s="11">
        <f t="shared" si="29"/>
        <v>12.18159773</v>
      </c>
      <c r="J75" s="11">
        <f t="shared" si="30"/>
        <v>12.31093117</v>
      </c>
      <c r="K75" s="11">
        <f t="shared" si="31"/>
        <v>12.86769231</v>
      </c>
    </row>
    <row r="76">
      <c r="A76" s="10" t="s">
        <v>15</v>
      </c>
      <c r="B76" s="11">
        <f t="shared" si="22"/>
        <v>17.39451523</v>
      </c>
      <c r="C76" s="11">
        <f t="shared" si="23"/>
        <v>16.77903313</v>
      </c>
      <c r="D76" s="11">
        <f t="shared" si="24"/>
        <v>19.01672327</v>
      </c>
      <c r="E76" s="11">
        <f t="shared" si="25"/>
        <v>14.45567513</v>
      </c>
      <c r="F76" s="11">
        <f t="shared" si="26"/>
        <v>12.76645606</v>
      </c>
      <c r="G76" s="11">
        <f t="shared" si="27"/>
        <v>12.45984515</v>
      </c>
      <c r="H76" s="11">
        <f t="shared" si="28"/>
        <v>12.71577367</v>
      </c>
      <c r="I76" s="11">
        <f t="shared" si="29"/>
        <v>11.83104816</v>
      </c>
      <c r="J76" s="11">
        <f t="shared" si="30"/>
        <v>12.13506073</v>
      </c>
      <c r="K76" s="11">
        <f t="shared" si="31"/>
        <v>12.77578022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8.63"/>
    <col customWidth="1" min="3" max="3" width="36.13"/>
    <col customWidth="1" min="4" max="4" width="20.63"/>
    <col customWidth="1" min="5" max="5" width="19.5"/>
    <col customWidth="1" min="6" max="6" width="18.38"/>
    <col customWidth="1" min="7" max="7" width="20.13"/>
    <col customWidth="1" min="8" max="8" width="19.13"/>
    <col customWidth="1" min="9" max="9" width="20.5"/>
    <col customWidth="1" min="10" max="10" width="20.63"/>
    <col customWidth="1" min="11" max="11" width="23.13"/>
  </cols>
  <sheetData>
    <row r="1">
      <c r="A1" s="15" t="s">
        <v>25</v>
      </c>
      <c r="B1" s="16" t="s">
        <v>1</v>
      </c>
      <c r="C1" s="16" t="s">
        <v>2</v>
      </c>
    </row>
    <row r="2">
      <c r="A2" s="16">
        <v>2015.0</v>
      </c>
      <c r="B2" s="17">
        <v>17.46</v>
      </c>
      <c r="C2" s="17">
        <v>10.92</v>
      </c>
      <c r="D2" s="7" t="s">
        <v>26</v>
      </c>
    </row>
    <row r="3">
      <c r="A3" s="16">
        <v>2016.0</v>
      </c>
      <c r="B3" s="17">
        <v>16.72</v>
      </c>
      <c r="C3" s="17">
        <v>9.76</v>
      </c>
      <c r="D3" s="18" t="s">
        <v>27</v>
      </c>
    </row>
    <row r="4">
      <c r="A4" s="16">
        <v>2017.0</v>
      </c>
      <c r="B4" s="17">
        <v>18.75</v>
      </c>
      <c r="C4" s="17">
        <v>10.41</v>
      </c>
      <c r="D4" s="18" t="s">
        <v>28</v>
      </c>
    </row>
    <row r="5">
      <c r="A5" s="16">
        <v>2018.0</v>
      </c>
      <c r="B5" s="17">
        <v>18.79</v>
      </c>
      <c r="C5" s="17">
        <v>11.13</v>
      </c>
    </row>
    <row r="6">
      <c r="A6" s="16">
        <v>2019.0</v>
      </c>
      <c r="B6" s="17">
        <v>18.27</v>
      </c>
      <c r="C6" s="17">
        <v>10.11</v>
      </c>
    </row>
    <row r="7">
      <c r="A7" s="16">
        <v>2020.0</v>
      </c>
      <c r="B7" s="17">
        <v>18.81</v>
      </c>
      <c r="C7" s="17">
        <v>9.93</v>
      </c>
    </row>
    <row r="8">
      <c r="A8" s="16">
        <v>2021.0</v>
      </c>
      <c r="B8" s="17">
        <v>20.16</v>
      </c>
      <c r="C8" s="17">
        <v>12.37</v>
      </c>
    </row>
    <row r="9">
      <c r="A9" s="16">
        <v>2022.0</v>
      </c>
      <c r="B9" s="17">
        <v>22.48</v>
      </c>
      <c r="C9" s="17">
        <v>16.47</v>
      </c>
    </row>
    <row r="10">
      <c r="A10" s="16">
        <v>2023.0</v>
      </c>
      <c r="B10" s="17">
        <v>19.83</v>
      </c>
      <c r="C10" s="17">
        <v>16.66</v>
      </c>
    </row>
    <row r="11">
      <c r="A11" s="16">
        <v>2024.0</v>
      </c>
      <c r="B11" s="17">
        <v>21.46</v>
      </c>
      <c r="C11" s="17">
        <v>16.09</v>
      </c>
    </row>
    <row r="12">
      <c r="A12" s="7"/>
    </row>
    <row r="13">
      <c r="A13" s="6"/>
    </row>
    <row r="14">
      <c r="A14" s="14" t="s">
        <v>29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>
      <c r="A15" s="5"/>
      <c r="B15" s="10">
        <v>2024.0</v>
      </c>
      <c r="C15" s="10">
        <v>2023.0</v>
      </c>
      <c r="D15" s="10">
        <v>2022.0</v>
      </c>
      <c r="E15" s="10">
        <v>2021.0</v>
      </c>
      <c r="F15" s="10">
        <v>2020.0</v>
      </c>
      <c r="G15" s="10">
        <v>2019.0</v>
      </c>
      <c r="H15" s="10">
        <v>2018.0</v>
      </c>
      <c r="I15" s="10">
        <v>2017.0</v>
      </c>
      <c r="J15" s="10">
        <v>2016.0</v>
      </c>
      <c r="K15" s="10">
        <v>2015.0</v>
      </c>
    </row>
    <row r="16">
      <c r="A16" s="10" t="s">
        <v>4</v>
      </c>
      <c r="B16" s="11">
        <v>7.54</v>
      </c>
      <c r="C16" s="11">
        <v>7.48</v>
      </c>
      <c r="D16" s="11">
        <v>7.6</v>
      </c>
      <c r="E16" s="11">
        <v>5.6</v>
      </c>
      <c r="F16" s="11">
        <v>5.4</v>
      </c>
      <c r="G16" s="11">
        <v>5.7</v>
      </c>
      <c r="H16" s="11">
        <v>6.4</v>
      </c>
      <c r="I16" s="11">
        <v>5.9</v>
      </c>
      <c r="J16" s="11">
        <v>5.5</v>
      </c>
      <c r="K16" s="11">
        <v>6.1</v>
      </c>
      <c r="L16" s="19"/>
    </row>
    <row r="17">
      <c r="A17" s="10" t="s">
        <v>5</v>
      </c>
      <c r="B17" s="11">
        <v>7.26</v>
      </c>
      <c r="C17" s="11">
        <v>7.08</v>
      </c>
      <c r="D17" s="11">
        <v>7.5</v>
      </c>
      <c r="E17" s="11">
        <v>6.0</v>
      </c>
      <c r="F17" s="11">
        <v>5.3</v>
      </c>
      <c r="G17" s="11">
        <v>5.7</v>
      </c>
      <c r="H17" s="11">
        <v>6.7</v>
      </c>
      <c r="I17" s="11">
        <v>5.0</v>
      </c>
      <c r="J17" s="11">
        <v>6.1</v>
      </c>
      <c r="K17" s="11">
        <v>7.8</v>
      </c>
    </row>
    <row r="18">
      <c r="A18" s="10" t="s">
        <v>6</v>
      </c>
      <c r="B18" s="11">
        <v>8.01</v>
      </c>
      <c r="C18" s="11">
        <v>6.77</v>
      </c>
      <c r="D18" s="11">
        <v>7.0</v>
      </c>
      <c r="E18" s="11">
        <v>6.0</v>
      </c>
      <c r="F18" s="11">
        <v>5.3</v>
      </c>
      <c r="G18" s="11">
        <v>5.5</v>
      </c>
      <c r="H18" s="11">
        <v>5.5</v>
      </c>
      <c r="I18" s="11">
        <v>5.9</v>
      </c>
      <c r="J18" s="11">
        <v>6.0</v>
      </c>
      <c r="K18" s="11">
        <v>7.7</v>
      </c>
    </row>
    <row r="19">
      <c r="A19" s="10" t="s">
        <v>7</v>
      </c>
      <c r="B19" s="11">
        <v>7.63</v>
      </c>
      <c r="C19" s="11">
        <v>6.74</v>
      </c>
      <c r="D19" s="11">
        <v>7.1</v>
      </c>
      <c r="E19" s="11">
        <v>7.4</v>
      </c>
      <c r="F19" s="11">
        <v>5.3</v>
      </c>
      <c r="G19" s="11">
        <v>5.5</v>
      </c>
      <c r="H19" s="11">
        <v>5.6</v>
      </c>
      <c r="I19" s="11">
        <v>5.9</v>
      </c>
      <c r="J19" s="11">
        <v>6.0</v>
      </c>
      <c r="K19" s="11">
        <v>6.3</v>
      </c>
    </row>
    <row r="20">
      <c r="A20" s="10" t="s">
        <v>8</v>
      </c>
      <c r="B20" s="11">
        <v>8.72</v>
      </c>
      <c r="C20" s="11">
        <v>6.87</v>
      </c>
      <c r="D20" s="11">
        <v>7.1</v>
      </c>
      <c r="E20" s="11">
        <v>6.0</v>
      </c>
      <c r="F20" s="11">
        <v>5.4</v>
      </c>
      <c r="G20" s="11">
        <v>5.8</v>
      </c>
      <c r="H20" s="11">
        <v>6.6</v>
      </c>
      <c r="I20" s="11">
        <v>6.2</v>
      </c>
      <c r="J20" s="11">
        <v>5.8</v>
      </c>
      <c r="K20" s="11">
        <v>5.7</v>
      </c>
    </row>
    <row r="21">
      <c r="A21" s="10" t="s">
        <v>9</v>
      </c>
      <c r="B21" s="11">
        <v>8.77</v>
      </c>
      <c r="C21" s="11">
        <v>6.65</v>
      </c>
      <c r="D21" s="11">
        <v>7.7</v>
      </c>
      <c r="E21" s="11">
        <v>6.3</v>
      </c>
      <c r="F21" s="11">
        <v>5.6</v>
      </c>
      <c r="G21" s="11">
        <v>5.3</v>
      </c>
      <c r="H21" s="11">
        <v>6.0</v>
      </c>
      <c r="I21" s="11">
        <v>6.1</v>
      </c>
      <c r="J21" s="11">
        <v>6.7</v>
      </c>
      <c r="K21" s="11">
        <v>6.1</v>
      </c>
    </row>
    <row r="22">
      <c r="A22" s="10" t="s">
        <v>10</v>
      </c>
      <c r="B22" s="11">
        <v>9.72</v>
      </c>
      <c r="C22" s="11">
        <v>7.03</v>
      </c>
      <c r="D22" s="11">
        <v>8.4</v>
      </c>
      <c r="E22" s="11">
        <v>7.3</v>
      </c>
      <c r="F22" s="11">
        <v>5.6</v>
      </c>
      <c r="G22" s="11">
        <v>5.7</v>
      </c>
      <c r="H22" s="11">
        <v>6.3</v>
      </c>
      <c r="I22" s="11">
        <v>5.9</v>
      </c>
      <c r="J22" s="11">
        <v>5.6</v>
      </c>
      <c r="K22" s="11">
        <v>6.2</v>
      </c>
    </row>
    <row r="23">
      <c r="A23" s="10" t="s">
        <v>11</v>
      </c>
      <c r="B23" s="11">
        <v>9.88</v>
      </c>
      <c r="C23" s="11">
        <v>7.03</v>
      </c>
      <c r="D23" s="11">
        <v>8.6</v>
      </c>
      <c r="E23" s="11">
        <v>7.2</v>
      </c>
      <c r="F23" s="11">
        <v>5.7</v>
      </c>
      <c r="G23" s="11">
        <v>5.8</v>
      </c>
      <c r="H23" s="11">
        <v>6.1</v>
      </c>
      <c r="I23" s="11">
        <v>6.2</v>
      </c>
      <c r="J23" s="11">
        <v>6.3</v>
      </c>
      <c r="K23" s="11">
        <v>6.2</v>
      </c>
    </row>
    <row r="24">
      <c r="A24" s="10" t="s">
        <v>12</v>
      </c>
      <c r="B24" s="11">
        <v>9.35</v>
      </c>
      <c r="C24" s="11">
        <v>6.99</v>
      </c>
      <c r="D24" s="11">
        <v>15.1</v>
      </c>
      <c r="E24" s="11">
        <v>7.4</v>
      </c>
      <c r="F24" s="11">
        <v>5.8</v>
      </c>
      <c r="G24" s="11">
        <v>5.8</v>
      </c>
      <c r="H24" s="11">
        <v>6.0</v>
      </c>
      <c r="I24" s="11">
        <v>6.2</v>
      </c>
      <c r="J24" s="11">
        <v>6.2</v>
      </c>
      <c r="K24" s="11">
        <v>6.5</v>
      </c>
    </row>
    <row r="25">
      <c r="A25" s="10" t="s">
        <v>13</v>
      </c>
      <c r="B25" s="11">
        <v>9.46</v>
      </c>
      <c r="C25" s="11">
        <v>6.46</v>
      </c>
      <c r="D25" s="11">
        <v>7.6</v>
      </c>
      <c r="E25" s="11">
        <v>6.7</v>
      </c>
      <c r="F25" s="11">
        <v>5.8</v>
      </c>
      <c r="G25" s="11">
        <v>5.6</v>
      </c>
      <c r="H25" s="11">
        <v>6.0</v>
      </c>
      <c r="I25" s="11">
        <v>6.2</v>
      </c>
      <c r="J25" s="11">
        <v>6.0</v>
      </c>
      <c r="K25" s="11">
        <v>6.3</v>
      </c>
    </row>
    <row r="26">
      <c r="A26" s="10" t="s">
        <v>14</v>
      </c>
      <c r="B26" s="11">
        <v>8.99</v>
      </c>
      <c r="C26" s="11">
        <v>6.88</v>
      </c>
      <c r="D26" s="11">
        <v>7.2</v>
      </c>
      <c r="E26" s="11">
        <v>6.6</v>
      </c>
      <c r="F26" s="11">
        <v>5.5</v>
      </c>
      <c r="G26" s="11">
        <v>5.5</v>
      </c>
      <c r="H26" s="11">
        <v>5.8</v>
      </c>
      <c r="I26" s="11">
        <v>5.8</v>
      </c>
      <c r="J26" s="11">
        <v>6.6</v>
      </c>
      <c r="K26" s="11">
        <v>5.9</v>
      </c>
    </row>
    <row r="27">
      <c r="A27" s="10" t="s">
        <v>15</v>
      </c>
      <c r="B27" s="11">
        <v>9.78</v>
      </c>
      <c r="C27" s="11">
        <v>6.53</v>
      </c>
      <c r="D27" s="11">
        <v>7.8</v>
      </c>
      <c r="E27" s="11">
        <v>6.6</v>
      </c>
      <c r="F27" s="11">
        <v>5.7</v>
      </c>
      <c r="G27" s="11">
        <v>5.4</v>
      </c>
      <c r="H27" s="11">
        <v>5.6</v>
      </c>
      <c r="I27" s="11">
        <v>5.9</v>
      </c>
      <c r="J27" s="11">
        <v>5.8</v>
      </c>
      <c r="K27" s="11">
        <v>5.7</v>
      </c>
    </row>
    <row r="28">
      <c r="A28" s="12" t="s">
        <v>16</v>
      </c>
      <c r="B28" s="13">
        <f t="shared" ref="B28:K28" si="1">SUM(B16:B27)/12</f>
        <v>8.759166667</v>
      </c>
      <c r="C28" s="13">
        <f t="shared" si="1"/>
        <v>6.875833333</v>
      </c>
      <c r="D28" s="13">
        <f t="shared" si="1"/>
        <v>8.225</v>
      </c>
      <c r="E28" s="13">
        <f t="shared" si="1"/>
        <v>6.591666667</v>
      </c>
      <c r="F28" s="13">
        <f t="shared" si="1"/>
        <v>5.533333333</v>
      </c>
      <c r="G28" s="13">
        <f t="shared" si="1"/>
        <v>5.608333333</v>
      </c>
      <c r="H28" s="13">
        <f t="shared" si="1"/>
        <v>6.05</v>
      </c>
      <c r="I28" s="13">
        <f t="shared" si="1"/>
        <v>5.933333333</v>
      </c>
      <c r="J28" s="13">
        <f t="shared" si="1"/>
        <v>6.05</v>
      </c>
      <c r="K28" s="13">
        <f t="shared" si="1"/>
        <v>6.375</v>
      </c>
    </row>
    <row r="31">
      <c r="A31" s="14" t="s">
        <v>30</v>
      </c>
    </row>
    <row r="32">
      <c r="A32" s="5"/>
      <c r="B32" s="10">
        <v>2024.0</v>
      </c>
      <c r="C32" s="10">
        <v>2023.0</v>
      </c>
      <c r="D32" s="10">
        <v>2022.0</v>
      </c>
      <c r="E32" s="10">
        <v>2021.0</v>
      </c>
      <c r="F32" s="10">
        <v>2020.0</v>
      </c>
      <c r="G32" s="10">
        <v>2019.0</v>
      </c>
      <c r="H32" s="10">
        <v>2018.0</v>
      </c>
      <c r="I32" s="10">
        <v>2017.0</v>
      </c>
      <c r="J32" s="10">
        <v>2016.0</v>
      </c>
      <c r="K32" s="10">
        <v>2015.0</v>
      </c>
    </row>
    <row r="33">
      <c r="A33" s="10" t="s">
        <v>4</v>
      </c>
      <c r="B33" s="11">
        <f t="shared" ref="B33:B44" si="2">B16/$B$28</f>
        <v>0.8608124822</v>
      </c>
      <c r="C33" s="11">
        <f t="shared" ref="C33:C44" si="3">C16/$C$28</f>
        <v>1.087868137</v>
      </c>
      <c r="D33" s="11">
        <f t="shared" ref="D33:D44" si="4">D16/$D$28</f>
        <v>0.9240121581</v>
      </c>
      <c r="E33" s="11">
        <f t="shared" ref="E33:E44" si="5">E16/$E$28</f>
        <v>0.8495575221</v>
      </c>
      <c r="F33" s="11">
        <f t="shared" ref="F33:F44" si="6">F16/$F$28</f>
        <v>0.9759036145</v>
      </c>
      <c r="G33" s="11">
        <f t="shared" ref="G33:G44" si="7">G16/$G$28</f>
        <v>1.016344725</v>
      </c>
      <c r="H33" s="11">
        <f t="shared" ref="H33:H44" si="8">H16/$H$28</f>
        <v>1.05785124</v>
      </c>
      <c r="I33" s="11">
        <f t="shared" ref="I33:I44" si="9">I16/$I$28</f>
        <v>0.9943820225</v>
      </c>
      <c r="J33" s="11">
        <f t="shared" ref="J33:J44" si="10">J16/$J$28</f>
        <v>0.9090909091</v>
      </c>
      <c r="K33" s="11">
        <f t="shared" ref="K33:K44" si="11">K16/$K$28</f>
        <v>0.9568627451</v>
      </c>
    </row>
    <row r="34">
      <c r="A34" s="10" t="s">
        <v>5</v>
      </c>
      <c r="B34" s="11">
        <f t="shared" si="2"/>
        <v>0.8288459709</v>
      </c>
      <c r="C34" s="11">
        <f t="shared" si="3"/>
        <v>1.029693371</v>
      </c>
      <c r="D34" s="11">
        <f t="shared" si="4"/>
        <v>0.9118541033</v>
      </c>
      <c r="E34" s="11">
        <f t="shared" si="5"/>
        <v>0.9102402023</v>
      </c>
      <c r="F34" s="11">
        <f t="shared" si="6"/>
        <v>0.9578313253</v>
      </c>
      <c r="G34" s="11">
        <f t="shared" si="7"/>
        <v>1.016344725</v>
      </c>
      <c r="H34" s="11">
        <f t="shared" si="8"/>
        <v>1.107438017</v>
      </c>
      <c r="I34" s="11">
        <f t="shared" si="9"/>
        <v>0.8426966292</v>
      </c>
      <c r="J34" s="11">
        <f t="shared" si="10"/>
        <v>1.008264463</v>
      </c>
      <c r="K34" s="11">
        <f t="shared" si="11"/>
        <v>1.223529412</v>
      </c>
    </row>
    <row r="35">
      <c r="A35" s="10" t="s">
        <v>6</v>
      </c>
      <c r="B35" s="11">
        <f t="shared" si="2"/>
        <v>0.9144705547</v>
      </c>
      <c r="C35" s="11">
        <f t="shared" si="3"/>
        <v>0.9846079263</v>
      </c>
      <c r="D35" s="11">
        <f t="shared" si="4"/>
        <v>0.8510638298</v>
      </c>
      <c r="E35" s="11">
        <f t="shared" si="5"/>
        <v>0.9102402023</v>
      </c>
      <c r="F35" s="11">
        <f t="shared" si="6"/>
        <v>0.9578313253</v>
      </c>
      <c r="G35" s="11">
        <f t="shared" si="7"/>
        <v>0.9806835067</v>
      </c>
      <c r="H35" s="11">
        <f t="shared" si="8"/>
        <v>0.9090909091</v>
      </c>
      <c r="I35" s="11">
        <f t="shared" si="9"/>
        <v>0.9943820225</v>
      </c>
      <c r="J35" s="11">
        <f t="shared" si="10"/>
        <v>0.9917355372</v>
      </c>
      <c r="K35" s="11">
        <f t="shared" si="11"/>
        <v>1.207843137</v>
      </c>
    </row>
    <row r="36">
      <c r="A36" s="10" t="s">
        <v>7</v>
      </c>
      <c r="B36" s="11">
        <f t="shared" si="2"/>
        <v>0.8710874322</v>
      </c>
      <c r="C36" s="11">
        <f t="shared" si="3"/>
        <v>0.9802448188</v>
      </c>
      <c r="D36" s="11">
        <f t="shared" si="4"/>
        <v>0.8632218845</v>
      </c>
      <c r="E36" s="11">
        <f t="shared" si="5"/>
        <v>1.122629583</v>
      </c>
      <c r="F36" s="11">
        <f t="shared" si="6"/>
        <v>0.9578313253</v>
      </c>
      <c r="G36" s="11">
        <f t="shared" si="7"/>
        <v>0.9806835067</v>
      </c>
      <c r="H36" s="11">
        <f t="shared" si="8"/>
        <v>0.9256198347</v>
      </c>
      <c r="I36" s="11">
        <f t="shared" si="9"/>
        <v>0.9943820225</v>
      </c>
      <c r="J36" s="11">
        <f t="shared" si="10"/>
        <v>0.9917355372</v>
      </c>
      <c r="K36" s="11">
        <f t="shared" si="11"/>
        <v>0.9882352941</v>
      </c>
    </row>
    <row r="37">
      <c r="A37" s="10" t="s">
        <v>8</v>
      </c>
      <c r="B37" s="11">
        <f t="shared" si="2"/>
        <v>0.995528494</v>
      </c>
      <c r="C37" s="11">
        <f t="shared" si="3"/>
        <v>0.999151618</v>
      </c>
      <c r="D37" s="11">
        <f t="shared" si="4"/>
        <v>0.8632218845</v>
      </c>
      <c r="E37" s="11">
        <f t="shared" si="5"/>
        <v>0.9102402023</v>
      </c>
      <c r="F37" s="11">
        <f t="shared" si="6"/>
        <v>0.9759036145</v>
      </c>
      <c r="G37" s="11">
        <f t="shared" si="7"/>
        <v>1.034175334</v>
      </c>
      <c r="H37" s="11">
        <f t="shared" si="8"/>
        <v>1.090909091</v>
      </c>
      <c r="I37" s="11">
        <f t="shared" si="9"/>
        <v>1.04494382</v>
      </c>
      <c r="J37" s="11">
        <f t="shared" si="10"/>
        <v>0.958677686</v>
      </c>
      <c r="K37" s="11">
        <f t="shared" si="11"/>
        <v>0.8941176471</v>
      </c>
    </row>
    <row r="38">
      <c r="A38" s="10" t="s">
        <v>9</v>
      </c>
      <c r="B38" s="11">
        <f t="shared" si="2"/>
        <v>1.0012368</v>
      </c>
      <c r="C38" s="11">
        <f t="shared" si="3"/>
        <v>0.9671554963</v>
      </c>
      <c r="D38" s="11">
        <f t="shared" si="4"/>
        <v>0.9361702128</v>
      </c>
      <c r="E38" s="11">
        <f t="shared" si="5"/>
        <v>0.9557522124</v>
      </c>
      <c r="F38" s="11">
        <f t="shared" si="6"/>
        <v>1.012048193</v>
      </c>
      <c r="G38" s="11">
        <f t="shared" si="7"/>
        <v>0.9450222883</v>
      </c>
      <c r="H38" s="11">
        <f t="shared" si="8"/>
        <v>0.9917355372</v>
      </c>
      <c r="I38" s="11">
        <f t="shared" si="9"/>
        <v>1.028089888</v>
      </c>
      <c r="J38" s="11">
        <f t="shared" si="10"/>
        <v>1.107438017</v>
      </c>
      <c r="K38" s="11">
        <f t="shared" si="11"/>
        <v>0.9568627451</v>
      </c>
    </row>
    <row r="39">
      <c r="A39" s="10" t="s">
        <v>10</v>
      </c>
      <c r="B39" s="11">
        <f t="shared" si="2"/>
        <v>1.109694606</v>
      </c>
      <c r="C39" s="11">
        <f t="shared" si="3"/>
        <v>1.022421525</v>
      </c>
      <c r="D39" s="11">
        <f t="shared" si="4"/>
        <v>1.021276596</v>
      </c>
      <c r="E39" s="11">
        <f t="shared" si="5"/>
        <v>1.107458913</v>
      </c>
      <c r="F39" s="11">
        <f t="shared" si="6"/>
        <v>1.012048193</v>
      </c>
      <c r="G39" s="11">
        <f t="shared" si="7"/>
        <v>1.016344725</v>
      </c>
      <c r="H39" s="11">
        <f t="shared" si="8"/>
        <v>1.041322314</v>
      </c>
      <c r="I39" s="11">
        <f t="shared" si="9"/>
        <v>0.9943820225</v>
      </c>
      <c r="J39" s="11">
        <f t="shared" si="10"/>
        <v>0.9256198347</v>
      </c>
      <c r="K39" s="11">
        <f t="shared" si="11"/>
        <v>0.9725490196</v>
      </c>
    </row>
    <row r="40">
      <c r="A40" s="10" t="s">
        <v>11</v>
      </c>
      <c r="B40" s="11">
        <f t="shared" si="2"/>
        <v>1.127961184</v>
      </c>
      <c r="C40" s="11">
        <f t="shared" si="3"/>
        <v>1.022421525</v>
      </c>
      <c r="D40" s="11">
        <f t="shared" si="4"/>
        <v>1.045592705</v>
      </c>
      <c r="E40" s="11">
        <f t="shared" si="5"/>
        <v>1.092288243</v>
      </c>
      <c r="F40" s="11">
        <f t="shared" si="6"/>
        <v>1.030120482</v>
      </c>
      <c r="G40" s="11">
        <f t="shared" si="7"/>
        <v>1.034175334</v>
      </c>
      <c r="H40" s="11">
        <f t="shared" si="8"/>
        <v>1.008264463</v>
      </c>
      <c r="I40" s="11">
        <f t="shared" si="9"/>
        <v>1.04494382</v>
      </c>
      <c r="J40" s="11">
        <f t="shared" si="10"/>
        <v>1.041322314</v>
      </c>
      <c r="K40" s="11">
        <f t="shared" si="11"/>
        <v>0.9725490196</v>
      </c>
    </row>
    <row r="41">
      <c r="A41" s="10" t="s">
        <v>12</v>
      </c>
      <c r="B41" s="11">
        <f t="shared" si="2"/>
        <v>1.067453144</v>
      </c>
      <c r="C41" s="11">
        <f t="shared" si="3"/>
        <v>1.016604048</v>
      </c>
      <c r="D41" s="11">
        <f t="shared" si="4"/>
        <v>1.835866261</v>
      </c>
      <c r="E41" s="11">
        <f t="shared" si="5"/>
        <v>1.122629583</v>
      </c>
      <c r="F41" s="11">
        <f t="shared" si="6"/>
        <v>1.048192771</v>
      </c>
      <c r="G41" s="11">
        <f t="shared" si="7"/>
        <v>1.034175334</v>
      </c>
      <c r="H41" s="11">
        <f t="shared" si="8"/>
        <v>0.9917355372</v>
      </c>
      <c r="I41" s="11">
        <f t="shared" si="9"/>
        <v>1.04494382</v>
      </c>
      <c r="J41" s="11">
        <f t="shared" si="10"/>
        <v>1.024793388</v>
      </c>
      <c r="K41" s="11">
        <f t="shared" si="11"/>
        <v>1.019607843</v>
      </c>
    </row>
    <row r="42">
      <c r="A42" s="10" t="s">
        <v>13</v>
      </c>
      <c r="B42" s="11">
        <f t="shared" si="2"/>
        <v>1.080011417</v>
      </c>
      <c r="C42" s="11">
        <f t="shared" si="3"/>
        <v>0.9395224821</v>
      </c>
      <c r="D42" s="11">
        <f t="shared" si="4"/>
        <v>0.9240121581</v>
      </c>
      <c r="E42" s="11">
        <f t="shared" si="5"/>
        <v>1.016434893</v>
      </c>
      <c r="F42" s="11">
        <f t="shared" si="6"/>
        <v>1.048192771</v>
      </c>
      <c r="G42" s="11">
        <f t="shared" si="7"/>
        <v>0.9985141159</v>
      </c>
      <c r="H42" s="11">
        <f t="shared" si="8"/>
        <v>0.9917355372</v>
      </c>
      <c r="I42" s="11">
        <f t="shared" si="9"/>
        <v>1.04494382</v>
      </c>
      <c r="J42" s="11">
        <f t="shared" si="10"/>
        <v>0.9917355372</v>
      </c>
      <c r="K42" s="11">
        <f t="shared" si="11"/>
        <v>0.9882352941</v>
      </c>
    </row>
    <row r="43">
      <c r="A43" s="10" t="s">
        <v>14</v>
      </c>
      <c r="B43" s="11">
        <f t="shared" si="2"/>
        <v>1.026353344</v>
      </c>
      <c r="C43" s="11">
        <f t="shared" si="3"/>
        <v>1.000605987</v>
      </c>
      <c r="D43" s="11">
        <f t="shared" si="4"/>
        <v>0.8753799392</v>
      </c>
      <c r="E43" s="11">
        <f t="shared" si="5"/>
        <v>1.001264223</v>
      </c>
      <c r="F43" s="11">
        <f t="shared" si="6"/>
        <v>0.9939759036</v>
      </c>
      <c r="G43" s="11">
        <f t="shared" si="7"/>
        <v>0.9806835067</v>
      </c>
      <c r="H43" s="11">
        <f t="shared" si="8"/>
        <v>0.958677686</v>
      </c>
      <c r="I43" s="11">
        <f t="shared" si="9"/>
        <v>0.9775280899</v>
      </c>
      <c r="J43" s="11">
        <f t="shared" si="10"/>
        <v>1.090909091</v>
      </c>
      <c r="K43" s="11">
        <f t="shared" si="11"/>
        <v>0.9254901961</v>
      </c>
    </row>
    <row r="44">
      <c r="A44" s="10" t="s">
        <v>15</v>
      </c>
      <c r="B44" s="11">
        <f t="shared" si="2"/>
        <v>1.116544572</v>
      </c>
      <c r="C44" s="11">
        <f t="shared" si="3"/>
        <v>0.9497030663</v>
      </c>
      <c r="D44" s="11">
        <f t="shared" si="4"/>
        <v>0.9483282675</v>
      </c>
      <c r="E44" s="11">
        <f t="shared" si="5"/>
        <v>1.001264223</v>
      </c>
      <c r="F44" s="11">
        <f t="shared" si="6"/>
        <v>1.030120482</v>
      </c>
      <c r="G44" s="11">
        <f t="shared" si="7"/>
        <v>0.9628528975</v>
      </c>
      <c r="H44" s="11">
        <f t="shared" si="8"/>
        <v>0.9256198347</v>
      </c>
      <c r="I44" s="11">
        <f t="shared" si="9"/>
        <v>0.9943820225</v>
      </c>
      <c r="J44" s="11">
        <f t="shared" si="10"/>
        <v>0.958677686</v>
      </c>
      <c r="K44" s="11">
        <f t="shared" si="11"/>
        <v>0.8941176471</v>
      </c>
    </row>
    <row r="47">
      <c r="A47" s="14" t="s">
        <v>31</v>
      </c>
    </row>
    <row r="48">
      <c r="A48" s="5"/>
      <c r="B48" s="10">
        <v>2024.0</v>
      </c>
      <c r="C48" s="10">
        <v>2023.0</v>
      </c>
      <c r="D48" s="10">
        <v>2022.0</v>
      </c>
      <c r="E48" s="10">
        <v>2021.0</v>
      </c>
      <c r="F48" s="10">
        <v>2020.0</v>
      </c>
      <c r="G48" s="10">
        <v>2019.0</v>
      </c>
      <c r="H48" s="10">
        <v>2018.0</v>
      </c>
      <c r="I48" s="10">
        <v>2017.0</v>
      </c>
      <c r="J48" s="10">
        <v>2016.0</v>
      </c>
      <c r="K48" s="10">
        <v>2015.0</v>
      </c>
    </row>
    <row r="49">
      <c r="A49" s="10" t="s">
        <v>4</v>
      </c>
      <c r="B49" s="11">
        <f t="shared" ref="B49:B60" si="12">B33*$B$11</f>
        <v>18.47303587</v>
      </c>
      <c r="C49" s="11">
        <f t="shared" ref="C49:C60" si="13">C33*$B$10</f>
        <v>21.57242516</v>
      </c>
      <c r="D49" s="11">
        <f t="shared" ref="D49:D56" si="14">D33*$B$9</f>
        <v>20.77179331</v>
      </c>
      <c r="E49" s="11">
        <f t="shared" ref="E49:E60" si="15">E33*$B$8</f>
        <v>17.12707965</v>
      </c>
      <c r="F49" s="11">
        <f t="shared" ref="F49:F60" si="16">F33*$B$7</f>
        <v>18.35674699</v>
      </c>
      <c r="G49" s="11">
        <f t="shared" ref="G49:G60" si="17">G33*$B$6</f>
        <v>18.56861813</v>
      </c>
      <c r="H49" s="11">
        <f t="shared" ref="H49:H60" si="18">H33*$B$5</f>
        <v>19.87702479</v>
      </c>
      <c r="I49" s="11">
        <f t="shared" ref="I49:I60" si="19">I33*$B$4</f>
        <v>18.64466292</v>
      </c>
      <c r="J49" s="11">
        <f t="shared" ref="J49:J60" si="20">J33*$B$3</f>
        <v>15.2</v>
      </c>
      <c r="K49" s="11">
        <f t="shared" ref="K49:K60" si="21">K33*$B$2</f>
        <v>16.70682353</v>
      </c>
    </row>
    <row r="50">
      <c r="A50" s="10" t="s">
        <v>5</v>
      </c>
      <c r="B50" s="11">
        <f t="shared" si="12"/>
        <v>17.78703454</v>
      </c>
      <c r="C50" s="11">
        <f t="shared" si="13"/>
        <v>20.41881954</v>
      </c>
      <c r="D50" s="11">
        <f t="shared" si="14"/>
        <v>20.49848024</v>
      </c>
      <c r="E50" s="11">
        <f t="shared" si="15"/>
        <v>18.35044248</v>
      </c>
      <c r="F50" s="11">
        <f t="shared" si="16"/>
        <v>18.01680723</v>
      </c>
      <c r="G50" s="11">
        <f t="shared" si="17"/>
        <v>18.56861813</v>
      </c>
      <c r="H50" s="11">
        <f t="shared" si="18"/>
        <v>20.80876033</v>
      </c>
      <c r="I50" s="11">
        <f t="shared" si="19"/>
        <v>15.8005618</v>
      </c>
      <c r="J50" s="11">
        <f t="shared" si="20"/>
        <v>16.85818182</v>
      </c>
      <c r="K50" s="11">
        <f t="shared" si="21"/>
        <v>21.36282353</v>
      </c>
    </row>
    <row r="51">
      <c r="A51" s="10" t="s">
        <v>6</v>
      </c>
      <c r="B51" s="11">
        <f t="shared" si="12"/>
        <v>19.6245381</v>
      </c>
      <c r="C51" s="11">
        <f t="shared" si="13"/>
        <v>19.52477518</v>
      </c>
      <c r="D51" s="11">
        <f t="shared" si="14"/>
        <v>19.13191489</v>
      </c>
      <c r="E51" s="11">
        <f t="shared" si="15"/>
        <v>18.35044248</v>
      </c>
      <c r="F51" s="11">
        <f t="shared" si="16"/>
        <v>18.01680723</v>
      </c>
      <c r="G51" s="11">
        <f t="shared" si="17"/>
        <v>17.91708767</v>
      </c>
      <c r="H51" s="11">
        <f t="shared" si="18"/>
        <v>17.08181818</v>
      </c>
      <c r="I51" s="11">
        <f t="shared" si="19"/>
        <v>18.64466292</v>
      </c>
      <c r="J51" s="11">
        <f t="shared" si="20"/>
        <v>16.58181818</v>
      </c>
      <c r="K51" s="11">
        <f t="shared" si="21"/>
        <v>21.08894118</v>
      </c>
    </row>
    <row r="52">
      <c r="A52" s="10" t="s">
        <v>7</v>
      </c>
      <c r="B52" s="11">
        <f t="shared" si="12"/>
        <v>18.6935363</v>
      </c>
      <c r="C52" s="11">
        <f t="shared" si="13"/>
        <v>19.43825476</v>
      </c>
      <c r="D52" s="11">
        <f t="shared" si="14"/>
        <v>19.40522796</v>
      </c>
      <c r="E52" s="11">
        <f t="shared" si="15"/>
        <v>22.63221239</v>
      </c>
      <c r="F52" s="11">
        <f t="shared" si="16"/>
        <v>18.01680723</v>
      </c>
      <c r="G52" s="11">
        <f t="shared" si="17"/>
        <v>17.91708767</v>
      </c>
      <c r="H52" s="11">
        <f t="shared" si="18"/>
        <v>17.39239669</v>
      </c>
      <c r="I52" s="11">
        <f t="shared" si="19"/>
        <v>18.64466292</v>
      </c>
      <c r="J52" s="11">
        <f t="shared" si="20"/>
        <v>16.58181818</v>
      </c>
      <c r="K52" s="11">
        <f t="shared" si="21"/>
        <v>17.25458824</v>
      </c>
    </row>
    <row r="53">
      <c r="A53" s="10" t="s">
        <v>8</v>
      </c>
      <c r="B53" s="11">
        <f t="shared" si="12"/>
        <v>21.36404148</v>
      </c>
      <c r="C53" s="11">
        <f t="shared" si="13"/>
        <v>19.81317658</v>
      </c>
      <c r="D53" s="11">
        <f t="shared" si="14"/>
        <v>19.40522796</v>
      </c>
      <c r="E53" s="11">
        <f t="shared" si="15"/>
        <v>18.35044248</v>
      </c>
      <c r="F53" s="11">
        <f t="shared" si="16"/>
        <v>18.35674699</v>
      </c>
      <c r="G53" s="11">
        <f t="shared" si="17"/>
        <v>18.89438336</v>
      </c>
      <c r="H53" s="11">
        <f t="shared" si="18"/>
        <v>20.49818182</v>
      </c>
      <c r="I53" s="11">
        <f t="shared" si="19"/>
        <v>19.59269663</v>
      </c>
      <c r="J53" s="11">
        <f t="shared" si="20"/>
        <v>16.02909091</v>
      </c>
      <c r="K53" s="11">
        <f t="shared" si="21"/>
        <v>15.61129412</v>
      </c>
    </row>
    <row r="54">
      <c r="A54" s="10" t="s">
        <v>9</v>
      </c>
      <c r="B54" s="11">
        <f t="shared" si="12"/>
        <v>21.48654172</v>
      </c>
      <c r="C54" s="11">
        <f t="shared" si="13"/>
        <v>19.17869349</v>
      </c>
      <c r="D54" s="11">
        <f t="shared" si="14"/>
        <v>21.04510638</v>
      </c>
      <c r="E54" s="11">
        <f t="shared" si="15"/>
        <v>19.2679646</v>
      </c>
      <c r="F54" s="11">
        <f t="shared" si="16"/>
        <v>19.03662651</v>
      </c>
      <c r="G54" s="11">
        <f t="shared" si="17"/>
        <v>17.26555721</v>
      </c>
      <c r="H54" s="11">
        <f t="shared" si="18"/>
        <v>18.63471074</v>
      </c>
      <c r="I54" s="11">
        <f t="shared" si="19"/>
        <v>19.27668539</v>
      </c>
      <c r="J54" s="11">
        <f t="shared" si="20"/>
        <v>18.51636364</v>
      </c>
      <c r="K54" s="11">
        <f t="shared" si="21"/>
        <v>16.70682353</v>
      </c>
    </row>
    <row r="55">
      <c r="A55" s="10" t="s">
        <v>10</v>
      </c>
      <c r="B55" s="11">
        <f t="shared" si="12"/>
        <v>23.81404624</v>
      </c>
      <c r="C55" s="11">
        <f t="shared" si="13"/>
        <v>20.27461883</v>
      </c>
      <c r="D55" s="11">
        <f t="shared" si="14"/>
        <v>22.95829787</v>
      </c>
      <c r="E55" s="11">
        <f t="shared" si="15"/>
        <v>22.32637168</v>
      </c>
      <c r="F55" s="11">
        <f t="shared" si="16"/>
        <v>19.03662651</v>
      </c>
      <c r="G55" s="11">
        <f t="shared" si="17"/>
        <v>18.56861813</v>
      </c>
      <c r="H55" s="11">
        <f t="shared" si="18"/>
        <v>19.56644628</v>
      </c>
      <c r="I55" s="11">
        <f t="shared" si="19"/>
        <v>18.64466292</v>
      </c>
      <c r="J55" s="11">
        <f t="shared" si="20"/>
        <v>15.47636364</v>
      </c>
      <c r="K55" s="11">
        <f t="shared" si="21"/>
        <v>16.98070588</v>
      </c>
    </row>
    <row r="56">
      <c r="A56" s="10" t="s">
        <v>11</v>
      </c>
      <c r="B56" s="11">
        <f t="shared" si="12"/>
        <v>24.206047</v>
      </c>
      <c r="C56" s="11">
        <f t="shared" si="13"/>
        <v>20.27461883</v>
      </c>
      <c r="D56" s="11">
        <f t="shared" si="14"/>
        <v>23.50492401</v>
      </c>
      <c r="E56" s="11">
        <f t="shared" si="15"/>
        <v>22.02053097</v>
      </c>
      <c r="F56" s="11">
        <f t="shared" si="16"/>
        <v>19.37656627</v>
      </c>
      <c r="G56" s="11">
        <f t="shared" si="17"/>
        <v>18.89438336</v>
      </c>
      <c r="H56" s="11">
        <f t="shared" si="18"/>
        <v>18.94528926</v>
      </c>
      <c r="I56" s="11">
        <f t="shared" si="19"/>
        <v>19.59269663</v>
      </c>
      <c r="J56" s="11">
        <f t="shared" si="20"/>
        <v>17.41090909</v>
      </c>
      <c r="K56" s="11">
        <f t="shared" si="21"/>
        <v>16.98070588</v>
      </c>
    </row>
    <row r="57">
      <c r="A57" s="10" t="s">
        <v>12</v>
      </c>
      <c r="B57" s="11">
        <f t="shared" si="12"/>
        <v>22.90754448</v>
      </c>
      <c r="C57" s="11">
        <f t="shared" si="13"/>
        <v>20.15925827</v>
      </c>
      <c r="D57" s="20" t="s">
        <v>32</v>
      </c>
      <c r="E57" s="11">
        <f t="shared" si="15"/>
        <v>22.63221239</v>
      </c>
      <c r="F57" s="11">
        <f t="shared" si="16"/>
        <v>19.71650602</v>
      </c>
      <c r="G57" s="11">
        <f t="shared" si="17"/>
        <v>18.89438336</v>
      </c>
      <c r="H57" s="11">
        <f t="shared" si="18"/>
        <v>18.63471074</v>
      </c>
      <c r="I57" s="11">
        <f t="shared" si="19"/>
        <v>19.59269663</v>
      </c>
      <c r="J57" s="11">
        <f t="shared" si="20"/>
        <v>17.13454545</v>
      </c>
      <c r="K57" s="11">
        <f t="shared" si="21"/>
        <v>17.80235294</v>
      </c>
    </row>
    <row r="58">
      <c r="A58" s="10" t="s">
        <v>13</v>
      </c>
      <c r="B58" s="11">
        <f t="shared" si="12"/>
        <v>23.177045</v>
      </c>
      <c r="C58" s="11">
        <f t="shared" si="13"/>
        <v>18.63073082</v>
      </c>
      <c r="D58" s="11">
        <f t="shared" ref="D58:D60" si="22">D42*$B$9</f>
        <v>20.77179331</v>
      </c>
      <c r="E58" s="11">
        <f t="shared" si="15"/>
        <v>20.49132743</v>
      </c>
      <c r="F58" s="11">
        <f t="shared" si="16"/>
        <v>19.71650602</v>
      </c>
      <c r="G58" s="11">
        <f t="shared" si="17"/>
        <v>18.2428529</v>
      </c>
      <c r="H58" s="11">
        <f t="shared" si="18"/>
        <v>18.63471074</v>
      </c>
      <c r="I58" s="11">
        <f t="shared" si="19"/>
        <v>19.59269663</v>
      </c>
      <c r="J58" s="11">
        <f t="shared" si="20"/>
        <v>16.58181818</v>
      </c>
      <c r="K58" s="11">
        <f t="shared" si="21"/>
        <v>17.25458824</v>
      </c>
    </row>
    <row r="59">
      <c r="A59" s="10" t="s">
        <v>14</v>
      </c>
      <c r="B59" s="11">
        <f t="shared" si="12"/>
        <v>22.02554276</v>
      </c>
      <c r="C59" s="11">
        <f t="shared" si="13"/>
        <v>19.84201673</v>
      </c>
      <c r="D59" s="11">
        <f t="shared" si="22"/>
        <v>19.67854103</v>
      </c>
      <c r="E59" s="11">
        <f t="shared" si="15"/>
        <v>20.18548673</v>
      </c>
      <c r="F59" s="11">
        <f t="shared" si="16"/>
        <v>18.69668675</v>
      </c>
      <c r="G59" s="11">
        <f t="shared" si="17"/>
        <v>17.91708767</v>
      </c>
      <c r="H59" s="11">
        <f t="shared" si="18"/>
        <v>18.01355372</v>
      </c>
      <c r="I59" s="11">
        <f t="shared" si="19"/>
        <v>18.32865169</v>
      </c>
      <c r="J59" s="11">
        <f t="shared" si="20"/>
        <v>18.24</v>
      </c>
      <c r="K59" s="11">
        <f t="shared" si="21"/>
        <v>16.15905882</v>
      </c>
    </row>
    <row r="60">
      <c r="A60" s="10" t="s">
        <v>15</v>
      </c>
      <c r="B60" s="11">
        <f t="shared" si="12"/>
        <v>23.96104652</v>
      </c>
      <c r="C60" s="11">
        <f t="shared" si="13"/>
        <v>18.8326118</v>
      </c>
      <c r="D60" s="11">
        <f t="shared" si="22"/>
        <v>21.31841945</v>
      </c>
      <c r="E60" s="11">
        <f t="shared" si="15"/>
        <v>20.18548673</v>
      </c>
      <c r="F60" s="11">
        <f t="shared" si="16"/>
        <v>19.37656627</v>
      </c>
      <c r="G60" s="11">
        <f t="shared" si="17"/>
        <v>17.59132244</v>
      </c>
      <c r="H60" s="11">
        <f t="shared" si="18"/>
        <v>17.39239669</v>
      </c>
      <c r="I60" s="11">
        <f t="shared" si="19"/>
        <v>18.64466292</v>
      </c>
      <c r="J60" s="11">
        <f t="shared" si="20"/>
        <v>16.02909091</v>
      </c>
      <c r="K60" s="11">
        <f t="shared" si="21"/>
        <v>15.61129412</v>
      </c>
    </row>
    <row r="63">
      <c r="A63" s="14" t="s">
        <v>33</v>
      </c>
    </row>
    <row r="64">
      <c r="A64" s="5"/>
      <c r="B64" s="10">
        <v>2024.0</v>
      </c>
      <c r="C64" s="10">
        <v>2023.0</v>
      </c>
      <c r="D64" s="10">
        <v>2022.0</v>
      </c>
      <c r="E64" s="10">
        <v>2021.0</v>
      </c>
      <c r="F64" s="10">
        <v>2020.0</v>
      </c>
      <c r="G64" s="10">
        <v>2019.0</v>
      </c>
      <c r="H64" s="10">
        <v>2018.0</v>
      </c>
      <c r="I64" s="10">
        <v>2017.0</v>
      </c>
      <c r="J64" s="10">
        <v>2016.0</v>
      </c>
      <c r="K64" s="10">
        <v>2015.0</v>
      </c>
    </row>
    <row r="65">
      <c r="A65" s="10" t="s">
        <v>4</v>
      </c>
      <c r="B65" s="11">
        <f t="shared" ref="B65:B76" si="23">B33*$C$11</f>
        <v>13.85047284</v>
      </c>
      <c r="C65" s="11">
        <f t="shared" ref="C65:C76" si="24">C33*$C$10</f>
        <v>18.12388317</v>
      </c>
      <c r="D65" s="11">
        <f t="shared" ref="D65:D72" si="25">D33*$C$9</f>
        <v>15.21848024</v>
      </c>
      <c r="E65" s="11">
        <f t="shared" ref="E65:E76" si="26">E33*$C$8</f>
        <v>10.50902655</v>
      </c>
      <c r="F65" s="11">
        <f t="shared" ref="F65:F76" si="27">F33*$C$7</f>
        <v>9.690722892</v>
      </c>
      <c r="G65" s="11">
        <f t="shared" ref="G65:G76" si="28">G33*$C$6</f>
        <v>10.27524517</v>
      </c>
      <c r="H65" s="11">
        <f t="shared" ref="H65:H76" si="29">H33*$C$5</f>
        <v>11.7738843</v>
      </c>
      <c r="I65" s="11">
        <f t="shared" ref="I65:I76" si="30">I33*$C$4</f>
        <v>10.35151685</v>
      </c>
      <c r="J65" s="11">
        <f t="shared" ref="J65:J76" si="31">J33*$C$3</f>
        <v>8.872727273</v>
      </c>
      <c r="K65" s="11">
        <f t="shared" ref="K65:K76" si="32">K33*$C$2</f>
        <v>10.44894118</v>
      </c>
    </row>
    <row r="66">
      <c r="A66" s="10" t="s">
        <v>5</v>
      </c>
      <c r="B66" s="11">
        <f t="shared" si="23"/>
        <v>13.33613167</v>
      </c>
      <c r="C66" s="11">
        <f t="shared" si="24"/>
        <v>17.15469155</v>
      </c>
      <c r="D66" s="11">
        <f t="shared" si="25"/>
        <v>15.01823708</v>
      </c>
      <c r="E66" s="11">
        <f t="shared" si="26"/>
        <v>11.2596713</v>
      </c>
      <c r="F66" s="11">
        <f t="shared" si="27"/>
        <v>9.51126506</v>
      </c>
      <c r="G66" s="11">
        <f t="shared" si="28"/>
        <v>10.27524517</v>
      </c>
      <c r="H66" s="11">
        <f t="shared" si="29"/>
        <v>12.32578512</v>
      </c>
      <c r="I66" s="11">
        <f t="shared" si="30"/>
        <v>8.77247191</v>
      </c>
      <c r="J66" s="11">
        <f t="shared" si="31"/>
        <v>9.840661157</v>
      </c>
      <c r="K66" s="11">
        <f t="shared" si="32"/>
        <v>13.36094118</v>
      </c>
    </row>
    <row r="67">
      <c r="A67" s="10" t="s">
        <v>6</v>
      </c>
      <c r="B67" s="11">
        <f t="shared" si="23"/>
        <v>14.71383122</v>
      </c>
      <c r="C67" s="11">
        <f t="shared" si="24"/>
        <v>16.40356805</v>
      </c>
      <c r="D67" s="11">
        <f t="shared" si="25"/>
        <v>14.01702128</v>
      </c>
      <c r="E67" s="11">
        <f t="shared" si="26"/>
        <v>11.2596713</v>
      </c>
      <c r="F67" s="11">
        <f t="shared" si="27"/>
        <v>9.51126506</v>
      </c>
      <c r="G67" s="11">
        <f t="shared" si="28"/>
        <v>9.914710253</v>
      </c>
      <c r="H67" s="11">
        <f t="shared" si="29"/>
        <v>10.11818182</v>
      </c>
      <c r="I67" s="11">
        <f t="shared" si="30"/>
        <v>10.35151685</v>
      </c>
      <c r="J67" s="11">
        <f t="shared" si="31"/>
        <v>9.679338843</v>
      </c>
      <c r="K67" s="11">
        <f t="shared" si="32"/>
        <v>13.18964706</v>
      </c>
    </row>
    <row r="68">
      <c r="A68" s="10" t="s">
        <v>7</v>
      </c>
      <c r="B68" s="11">
        <f t="shared" si="23"/>
        <v>14.01579678</v>
      </c>
      <c r="C68" s="11">
        <f t="shared" si="24"/>
        <v>16.33087868</v>
      </c>
      <c r="D68" s="11">
        <f t="shared" si="25"/>
        <v>14.21726444</v>
      </c>
      <c r="E68" s="11">
        <f t="shared" si="26"/>
        <v>13.88692794</v>
      </c>
      <c r="F68" s="11">
        <f t="shared" si="27"/>
        <v>9.51126506</v>
      </c>
      <c r="G68" s="11">
        <f t="shared" si="28"/>
        <v>9.914710253</v>
      </c>
      <c r="H68" s="11">
        <f t="shared" si="29"/>
        <v>10.30214876</v>
      </c>
      <c r="I68" s="11">
        <f t="shared" si="30"/>
        <v>10.35151685</v>
      </c>
      <c r="J68" s="11">
        <f t="shared" si="31"/>
        <v>9.679338843</v>
      </c>
      <c r="K68" s="11">
        <f t="shared" si="32"/>
        <v>10.79152941</v>
      </c>
    </row>
    <row r="69">
      <c r="A69" s="10" t="s">
        <v>8</v>
      </c>
      <c r="B69" s="11">
        <f t="shared" si="23"/>
        <v>16.01805347</v>
      </c>
      <c r="C69" s="11">
        <f t="shared" si="24"/>
        <v>16.64586596</v>
      </c>
      <c r="D69" s="11">
        <f t="shared" si="25"/>
        <v>14.21726444</v>
      </c>
      <c r="E69" s="11">
        <f t="shared" si="26"/>
        <v>11.2596713</v>
      </c>
      <c r="F69" s="11">
        <f t="shared" si="27"/>
        <v>9.690722892</v>
      </c>
      <c r="G69" s="11">
        <f t="shared" si="28"/>
        <v>10.45551263</v>
      </c>
      <c r="H69" s="11">
        <f t="shared" si="29"/>
        <v>12.14181818</v>
      </c>
      <c r="I69" s="11">
        <f t="shared" si="30"/>
        <v>10.87786517</v>
      </c>
      <c r="J69" s="11">
        <f t="shared" si="31"/>
        <v>9.356694215</v>
      </c>
      <c r="K69" s="11">
        <f t="shared" si="32"/>
        <v>9.763764706</v>
      </c>
    </row>
    <row r="70">
      <c r="A70" s="10" t="s">
        <v>9</v>
      </c>
      <c r="B70" s="11">
        <f t="shared" si="23"/>
        <v>16.1099001</v>
      </c>
      <c r="C70" s="11">
        <f t="shared" si="24"/>
        <v>16.11281057</v>
      </c>
      <c r="D70" s="11">
        <f t="shared" si="25"/>
        <v>15.4187234</v>
      </c>
      <c r="E70" s="11">
        <f t="shared" si="26"/>
        <v>11.82265487</v>
      </c>
      <c r="F70" s="11">
        <f t="shared" si="27"/>
        <v>10.04963855</v>
      </c>
      <c r="G70" s="11">
        <f t="shared" si="28"/>
        <v>9.554175334</v>
      </c>
      <c r="H70" s="11">
        <f t="shared" si="29"/>
        <v>11.03801653</v>
      </c>
      <c r="I70" s="11">
        <f t="shared" si="30"/>
        <v>10.70241573</v>
      </c>
      <c r="J70" s="11">
        <f t="shared" si="31"/>
        <v>10.80859504</v>
      </c>
      <c r="K70" s="11">
        <f t="shared" si="32"/>
        <v>10.44894118</v>
      </c>
    </row>
    <row r="71">
      <c r="A71" s="10" t="s">
        <v>10</v>
      </c>
      <c r="B71" s="11">
        <f t="shared" si="23"/>
        <v>17.8549862</v>
      </c>
      <c r="C71" s="11">
        <f t="shared" si="24"/>
        <v>17.0335426</v>
      </c>
      <c r="D71" s="11">
        <f t="shared" si="25"/>
        <v>16.82042553</v>
      </c>
      <c r="E71" s="11">
        <f t="shared" si="26"/>
        <v>13.69926675</v>
      </c>
      <c r="F71" s="11">
        <f t="shared" si="27"/>
        <v>10.04963855</v>
      </c>
      <c r="G71" s="11">
        <f t="shared" si="28"/>
        <v>10.27524517</v>
      </c>
      <c r="H71" s="11">
        <f t="shared" si="29"/>
        <v>11.58991736</v>
      </c>
      <c r="I71" s="11">
        <f t="shared" si="30"/>
        <v>10.35151685</v>
      </c>
      <c r="J71" s="11">
        <f t="shared" si="31"/>
        <v>9.034049587</v>
      </c>
      <c r="K71" s="11">
        <f t="shared" si="32"/>
        <v>10.62023529</v>
      </c>
    </row>
    <row r="72">
      <c r="A72" s="10" t="s">
        <v>11</v>
      </c>
      <c r="B72" s="11">
        <f t="shared" si="23"/>
        <v>18.14889544</v>
      </c>
      <c r="C72" s="11">
        <f t="shared" si="24"/>
        <v>17.0335426</v>
      </c>
      <c r="D72" s="11">
        <f t="shared" si="25"/>
        <v>17.22091185</v>
      </c>
      <c r="E72" s="11">
        <f t="shared" si="26"/>
        <v>13.51160556</v>
      </c>
      <c r="F72" s="11">
        <f t="shared" si="27"/>
        <v>10.22909639</v>
      </c>
      <c r="G72" s="11">
        <f t="shared" si="28"/>
        <v>10.45551263</v>
      </c>
      <c r="H72" s="11">
        <f t="shared" si="29"/>
        <v>11.22198347</v>
      </c>
      <c r="I72" s="11">
        <f t="shared" si="30"/>
        <v>10.87786517</v>
      </c>
      <c r="J72" s="11">
        <f t="shared" si="31"/>
        <v>10.16330579</v>
      </c>
      <c r="K72" s="11">
        <f t="shared" si="32"/>
        <v>10.62023529</v>
      </c>
    </row>
    <row r="73">
      <c r="A73" s="10" t="s">
        <v>12</v>
      </c>
      <c r="B73" s="11">
        <f t="shared" si="23"/>
        <v>17.17532109</v>
      </c>
      <c r="C73" s="11">
        <f t="shared" si="24"/>
        <v>16.93662344</v>
      </c>
      <c r="D73" s="20" t="s">
        <v>34</v>
      </c>
      <c r="E73" s="11">
        <f t="shared" si="26"/>
        <v>13.88692794</v>
      </c>
      <c r="F73" s="11">
        <f t="shared" si="27"/>
        <v>10.40855422</v>
      </c>
      <c r="G73" s="11">
        <f t="shared" si="28"/>
        <v>10.45551263</v>
      </c>
      <c r="H73" s="11">
        <f t="shared" si="29"/>
        <v>11.03801653</v>
      </c>
      <c r="I73" s="11">
        <f t="shared" si="30"/>
        <v>10.87786517</v>
      </c>
      <c r="J73" s="11">
        <f t="shared" si="31"/>
        <v>10.00198347</v>
      </c>
      <c r="K73" s="11">
        <f t="shared" si="32"/>
        <v>11.13411765</v>
      </c>
    </row>
    <row r="74">
      <c r="A74" s="10" t="s">
        <v>13</v>
      </c>
      <c r="B74" s="11">
        <f t="shared" si="23"/>
        <v>17.37738369</v>
      </c>
      <c r="C74" s="11">
        <f t="shared" si="24"/>
        <v>15.65244455</v>
      </c>
      <c r="D74" s="11">
        <f t="shared" ref="D74:D76" si="33">D42*$C$9</f>
        <v>15.21848024</v>
      </c>
      <c r="E74" s="11">
        <f t="shared" si="26"/>
        <v>12.57329962</v>
      </c>
      <c r="F74" s="11">
        <f t="shared" si="27"/>
        <v>10.40855422</v>
      </c>
      <c r="G74" s="11">
        <f t="shared" si="28"/>
        <v>10.09497771</v>
      </c>
      <c r="H74" s="11">
        <f t="shared" si="29"/>
        <v>11.03801653</v>
      </c>
      <c r="I74" s="11">
        <f t="shared" si="30"/>
        <v>10.87786517</v>
      </c>
      <c r="J74" s="11">
        <f t="shared" si="31"/>
        <v>9.679338843</v>
      </c>
      <c r="K74" s="11">
        <f t="shared" si="32"/>
        <v>10.79152941</v>
      </c>
    </row>
    <row r="75">
      <c r="A75" s="10" t="s">
        <v>14</v>
      </c>
      <c r="B75" s="11">
        <f t="shared" si="23"/>
        <v>16.51402531</v>
      </c>
      <c r="C75" s="11">
        <f t="shared" si="24"/>
        <v>16.67009575</v>
      </c>
      <c r="D75" s="11">
        <f t="shared" si="33"/>
        <v>14.4175076</v>
      </c>
      <c r="E75" s="11">
        <f t="shared" si="26"/>
        <v>12.38563843</v>
      </c>
      <c r="F75" s="11">
        <f t="shared" si="27"/>
        <v>9.870180723</v>
      </c>
      <c r="G75" s="11">
        <f t="shared" si="28"/>
        <v>9.914710253</v>
      </c>
      <c r="H75" s="11">
        <f t="shared" si="29"/>
        <v>10.67008264</v>
      </c>
      <c r="I75" s="11">
        <f t="shared" si="30"/>
        <v>10.17606742</v>
      </c>
      <c r="J75" s="11">
        <f t="shared" si="31"/>
        <v>10.64727273</v>
      </c>
      <c r="K75" s="11">
        <f t="shared" si="32"/>
        <v>10.10635294</v>
      </c>
    </row>
    <row r="76">
      <c r="A76" s="10" t="s">
        <v>15</v>
      </c>
      <c r="B76" s="11">
        <f t="shared" si="23"/>
        <v>17.96520217</v>
      </c>
      <c r="C76" s="11">
        <f t="shared" si="24"/>
        <v>15.82205308</v>
      </c>
      <c r="D76" s="11">
        <f t="shared" si="33"/>
        <v>15.61896657</v>
      </c>
      <c r="E76" s="11">
        <f t="shared" si="26"/>
        <v>12.38563843</v>
      </c>
      <c r="F76" s="11">
        <f t="shared" si="27"/>
        <v>10.22909639</v>
      </c>
      <c r="G76" s="11">
        <f t="shared" si="28"/>
        <v>9.734442793</v>
      </c>
      <c r="H76" s="11">
        <f t="shared" si="29"/>
        <v>10.30214876</v>
      </c>
      <c r="I76" s="11">
        <f t="shared" si="30"/>
        <v>10.35151685</v>
      </c>
      <c r="J76" s="11">
        <f t="shared" si="31"/>
        <v>9.356694215</v>
      </c>
      <c r="K76" s="11">
        <f t="shared" si="32"/>
        <v>9.763764706</v>
      </c>
    </row>
    <row r="79">
      <c r="A79" s="14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>
      <c r="A80" s="5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</row>
  </sheetData>
  <hyperlinks>
    <hyperlink r:id="rId1" ref="D3"/>
    <hyperlink r:id="rId2" ref="D4"/>
  </hyperlinks>
  <drawing r:id="rId3"/>
</worksheet>
</file>